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ormes" sheetId="1" r:id="rId5"/>
    <sheet state="visible" name="Batas" sheetId="2" r:id="rId6"/>
    <sheet state="visible" name="Insumos" sheetId="3" r:id="rId7"/>
    <sheet state="visible" name="Hoja 12" sheetId="4" r:id="rId8"/>
    <sheet state="visible" name="Gorros WM" sheetId="5" r:id="rId9"/>
    <sheet state="visible" name="contabilidad" sheetId="6" r:id="rId10"/>
  </sheets>
  <definedNames/>
  <calcPr/>
</workbook>
</file>

<file path=xl/sharedStrings.xml><?xml version="1.0" encoding="utf-8"?>
<sst xmlns="http://schemas.openxmlformats.org/spreadsheetml/2006/main" count="2418" uniqueCount="393">
  <si>
    <t xml:space="preserve">        DAMA </t>
  </si>
  <si>
    <t xml:space="preserve">Modelo </t>
  </si>
  <si>
    <t xml:space="preserve">Color </t>
  </si>
  <si>
    <t xml:space="preserve">Talla </t>
  </si>
  <si>
    <t xml:space="preserve">Bota </t>
  </si>
  <si>
    <t>Cantidad</t>
  </si>
  <si>
    <t xml:space="preserve">Precio </t>
  </si>
  <si>
    <t xml:space="preserve">Total </t>
  </si>
  <si>
    <t xml:space="preserve">Esencial </t>
  </si>
  <si>
    <t xml:space="preserve">Azul rey </t>
  </si>
  <si>
    <t>XXS</t>
  </si>
  <si>
    <t>Jogger</t>
  </si>
  <si>
    <t>X</t>
  </si>
  <si>
    <t xml:space="preserve">Basico </t>
  </si>
  <si>
    <t xml:space="preserve">Vinotinto </t>
  </si>
  <si>
    <t xml:space="preserve">Recta </t>
  </si>
  <si>
    <t xml:space="preserve"> </t>
  </si>
  <si>
    <t xml:space="preserve">Negro </t>
  </si>
  <si>
    <t>Lila</t>
  </si>
  <si>
    <t xml:space="preserve">Mao Stretch </t>
  </si>
  <si>
    <t xml:space="preserve">Blanco </t>
  </si>
  <si>
    <t xml:space="preserve">Azul Rey </t>
  </si>
  <si>
    <t>x</t>
  </si>
  <si>
    <t>Azul celeste</t>
  </si>
  <si>
    <t xml:space="preserve">Gris Plomo </t>
  </si>
  <si>
    <t>Verde Manzana*</t>
  </si>
  <si>
    <t>Naranja *</t>
  </si>
  <si>
    <t>Caqui *</t>
  </si>
  <si>
    <t xml:space="preserve"> Azul Marino </t>
  </si>
  <si>
    <t xml:space="preserve">Mao Pro </t>
  </si>
  <si>
    <t xml:space="preserve">Azul Marino </t>
  </si>
  <si>
    <t xml:space="preserve">Altu </t>
  </si>
  <si>
    <t>Caribeam</t>
  </si>
  <si>
    <t xml:space="preserve">Verde Olivo </t>
  </si>
  <si>
    <t xml:space="preserve">TALLA  XS </t>
  </si>
  <si>
    <t>Azul Rey</t>
  </si>
  <si>
    <t>XS</t>
  </si>
  <si>
    <t>Azul Marino</t>
  </si>
  <si>
    <t xml:space="preserve">Caribean </t>
  </si>
  <si>
    <t xml:space="preserve">Azul Celeste </t>
  </si>
  <si>
    <t xml:space="preserve">Mao Mic </t>
  </si>
  <si>
    <t>Blanco</t>
  </si>
  <si>
    <t xml:space="preserve">Caribean Oscuro </t>
  </si>
  <si>
    <t>Menta</t>
  </si>
  <si>
    <t xml:space="preserve">Fucsia </t>
  </si>
  <si>
    <t>Rojo</t>
  </si>
  <si>
    <t>Verde Qx</t>
  </si>
  <si>
    <t xml:space="preserve">Verde Qx </t>
  </si>
  <si>
    <t>Ancha</t>
  </si>
  <si>
    <t xml:space="preserve">Lila </t>
  </si>
  <si>
    <t xml:space="preserve">Gris Claro </t>
  </si>
  <si>
    <t xml:space="preserve">Tierra </t>
  </si>
  <si>
    <t>Tierra claro</t>
  </si>
  <si>
    <t xml:space="preserve">Verde Manzana </t>
  </si>
  <si>
    <t>Cargo Stretch</t>
  </si>
  <si>
    <t>Rosa Palo</t>
  </si>
  <si>
    <t xml:space="preserve">LILA </t>
  </si>
  <si>
    <t xml:space="preserve">Esencial Stretch </t>
  </si>
  <si>
    <t xml:space="preserve">TALLA S </t>
  </si>
  <si>
    <t>S</t>
  </si>
  <si>
    <t>Negro</t>
  </si>
  <si>
    <t xml:space="preserve">Cargo Mic </t>
  </si>
  <si>
    <t xml:space="preserve">Coral </t>
  </si>
  <si>
    <t>Nutricion</t>
  </si>
  <si>
    <t>MENTA</t>
  </si>
  <si>
    <t xml:space="preserve">AZUL REY </t>
  </si>
  <si>
    <t>Caribean Oscuro</t>
  </si>
  <si>
    <t>Verde olivo</t>
  </si>
  <si>
    <t>TIERRA</t>
  </si>
  <si>
    <t>Verde Oliva</t>
  </si>
  <si>
    <t>Verde Manzana</t>
  </si>
  <si>
    <t>Naranja</t>
  </si>
  <si>
    <t>LILA</t>
  </si>
  <si>
    <t>CAQUI</t>
  </si>
  <si>
    <t xml:space="preserve">TALLA M </t>
  </si>
  <si>
    <t>M</t>
  </si>
  <si>
    <t xml:space="preserve">MENTA </t>
  </si>
  <si>
    <t>Gris Plomo</t>
  </si>
  <si>
    <t>Azul rey</t>
  </si>
  <si>
    <t xml:space="preserve"> Caribean </t>
  </si>
  <si>
    <t xml:space="preserve">Rosa Palo </t>
  </si>
  <si>
    <t xml:space="preserve">Gris claro </t>
  </si>
  <si>
    <t xml:space="preserve">Rojo </t>
  </si>
  <si>
    <t xml:space="preserve">Naranja </t>
  </si>
  <si>
    <t xml:space="preserve">Caqui </t>
  </si>
  <si>
    <t>TALLA L</t>
  </si>
  <si>
    <t>L</t>
  </si>
  <si>
    <t xml:space="preserve">Turquesa </t>
  </si>
  <si>
    <t xml:space="preserve">BASICO </t>
  </si>
  <si>
    <t xml:space="preserve">VERDE OLIVO </t>
  </si>
  <si>
    <t xml:space="preserve">L </t>
  </si>
  <si>
    <t>TALLA XL</t>
  </si>
  <si>
    <t>XL</t>
  </si>
  <si>
    <t xml:space="preserve">                                                                                                  UNIFORME CABALLERO </t>
  </si>
  <si>
    <t xml:space="preserve"> UNIFORME</t>
  </si>
  <si>
    <t xml:space="preserve">CABALLERO </t>
  </si>
  <si>
    <t xml:space="preserve">TALLA XS </t>
  </si>
  <si>
    <t xml:space="preserve">Negro  </t>
  </si>
  <si>
    <t xml:space="preserve">XS </t>
  </si>
  <si>
    <t>VERDE ESMERALDA</t>
  </si>
  <si>
    <t>Basico Stretch</t>
  </si>
  <si>
    <t xml:space="preserve">Verde olivo </t>
  </si>
  <si>
    <t xml:space="preserve">CELESTE </t>
  </si>
  <si>
    <t xml:space="preserve">S </t>
  </si>
  <si>
    <t>Caribean</t>
  </si>
  <si>
    <t xml:space="preserve">VERDE QX </t>
  </si>
  <si>
    <t>NEGRO</t>
  </si>
  <si>
    <t>Gris plomo</t>
  </si>
  <si>
    <t xml:space="preserve">colores universitararios </t>
  </si>
  <si>
    <t xml:space="preserve">negro </t>
  </si>
  <si>
    <t>medicina</t>
  </si>
  <si>
    <t xml:space="preserve">optometria </t>
  </si>
  <si>
    <t xml:space="preserve">azul marino </t>
  </si>
  <si>
    <t xml:space="preserve">medicina </t>
  </si>
  <si>
    <t xml:space="preserve">celeste </t>
  </si>
  <si>
    <t xml:space="preserve">odontologia </t>
  </si>
  <si>
    <t>verde qx</t>
  </si>
  <si>
    <t xml:space="preserve">veterinaria </t>
  </si>
  <si>
    <t xml:space="preserve">caribean </t>
  </si>
  <si>
    <t xml:space="preserve">fisioterapia </t>
  </si>
  <si>
    <t xml:space="preserve">azul rey </t>
  </si>
  <si>
    <t xml:space="preserve">enfermeria </t>
  </si>
  <si>
    <t>BATAS MEDICAS</t>
  </si>
  <si>
    <t>DAMAS  XXS</t>
  </si>
  <si>
    <t xml:space="preserve">Chaqueta </t>
  </si>
  <si>
    <t>Blanca</t>
  </si>
  <si>
    <t>Algodon</t>
  </si>
  <si>
    <t>Disponible</t>
  </si>
  <si>
    <t xml:space="preserve">Negra </t>
  </si>
  <si>
    <t>No Disponible</t>
  </si>
  <si>
    <t xml:space="preserve">Larga </t>
  </si>
  <si>
    <t xml:space="preserve">Blanca </t>
  </si>
  <si>
    <t>Poliester</t>
  </si>
  <si>
    <t>Cierre</t>
  </si>
  <si>
    <t>DAMAS  XS</t>
  </si>
  <si>
    <t xml:space="preserve">Pro </t>
  </si>
  <si>
    <t xml:space="preserve">Sobretodo </t>
  </si>
  <si>
    <t xml:space="preserve">Xs </t>
  </si>
  <si>
    <t>DAMAS  S</t>
  </si>
  <si>
    <t>Negra</t>
  </si>
  <si>
    <t>-</t>
  </si>
  <si>
    <t xml:space="preserve">DAMAS  M </t>
  </si>
  <si>
    <t xml:space="preserve"> Morado - Deep </t>
  </si>
  <si>
    <t xml:space="preserve">Colors </t>
  </si>
  <si>
    <t xml:space="preserve">DAMAS  L </t>
  </si>
  <si>
    <t xml:space="preserve">DAMAS  XL </t>
  </si>
  <si>
    <t xml:space="preserve">CABALLERO XXS </t>
  </si>
  <si>
    <t xml:space="preserve">CABALLERO XS </t>
  </si>
  <si>
    <t>CABALLERO S</t>
  </si>
  <si>
    <t>CABALLERO M</t>
  </si>
  <si>
    <t>CABALLERO L</t>
  </si>
  <si>
    <t>CABALLERO XL</t>
  </si>
  <si>
    <t>INSUMOS</t>
  </si>
  <si>
    <t>MEDICOS</t>
  </si>
  <si>
    <t>Linternas</t>
  </si>
  <si>
    <t>GMD</t>
  </si>
  <si>
    <t xml:space="preserve">Valcri </t>
  </si>
  <si>
    <t>Dorada</t>
  </si>
  <si>
    <t>Fucsia</t>
  </si>
  <si>
    <t>Morado</t>
  </si>
  <si>
    <t>Torniquetes</t>
  </si>
  <si>
    <t xml:space="preserve">Estampados </t>
  </si>
  <si>
    <t>Rosado</t>
  </si>
  <si>
    <t>Verde Oscuro</t>
  </si>
  <si>
    <t xml:space="preserve">Termometro </t>
  </si>
  <si>
    <t>Digital GMD</t>
  </si>
  <si>
    <t xml:space="preserve">Rigido </t>
  </si>
  <si>
    <t>Flex</t>
  </si>
  <si>
    <t>Digital baby</t>
  </si>
  <si>
    <t>Rana</t>
  </si>
  <si>
    <t>Pollito</t>
  </si>
  <si>
    <t>Vaca</t>
  </si>
  <si>
    <t xml:space="preserve">Mercurio </t>
  </si>
  <si>
    <t xml:space="preserve">Oral </t>
  </si>
  <si>
    <t xml:space="preserve">Estetoscopio </t>
  </si>
  <si>
    <t>Ios 300</t>
  </si>
  <si>
    <t xml:space="preserve">con estuche </t>
  </si>
  <si>
    <t xml:space="preserve">Con estuche </t>
  </si>
  <si>
    <t xml:space="preserve">Rosado </t>
  </si>
  <si>
    <t xml:space="preserve">DM </t>
  </si>
  <si>
    <t xml:space="preserve">VALCRI </t>
  </si>
  <si>
    <t xml:space="preserve">Littmann </t>
  </si>
  <si>
    <t>classic III</t>
  </si>
  <si>
    <t xml:space="preserve">Azul cielo </t>
  </si>
  <si>
    <t xml:space="preserve">edicion especial </t>
  </si>
  <si>
    <t xml:space="preserve">fucsia </t>
  </si>
  <si>
    <t xml:space="preserve"> Negro</t>
  </si>
  <si>
    <t xml:space="preserve">Accesorio Esteto </t>
  </si>
  <si>
    <t>Tortuga</t>
  </si>
  <si>
    <t>coca cola</t>
  </si>
  <si>
    <t>hamburguesa</t>
  </si>
  <si>
    <t>Pinguino lila</t>
  </si>
  <si>
    <t>Pinguino Negro</t>
  </si>
  <si>
    <t xml:space="preserve">Lanyard </t>
  </si>
  <si>
    <t xml:space="preserve">Medicina </t>
  </si>
  <si>
    <t xml:space="preserve">Azul </t>
  </si>
  <si>
    <t>Odontologia</t>
  </si>
  <si>
    <t xml:space="preserve">Veterinaria </t>
  </si>
  <si>
    <t xml:space="preserve">Fisioterapia </t>
  </si>
  <si>
    <t xml:space="preserve">Optometria </t>
  </si>
  <si>
    <t>Portacarnet</t>
  </si>
  <si>
    <t xml:space="preserve">Yoyo </t>
  </si>
  <si>
    <t>Stitch</t>
  </si>
  <si>
    <t>Littmann</t>
  </si>
  <si>
    <t xml:space="preserve">Pad de Practica </t>
  </si>
  <si>
    <t xml:space="preserve">Kit </t>
  </si>
  <si>
    <t xml:space="preserve">Dental </t>
  </si>
  <si>
    <t>5 piezas</t>
  </si>
  <si>
    <t>,</t>
  </si>
  <si>
    <t xml:space="preserve">Kit de sutura </t>
  </si>
  <si>
    <t xml:space="preserve">9 piezas </t>
  </si>
  <si>
    <t xml:space="preserve">13 piezas </t>
  </si>
  <si>
    <t>Surgimax</t>
  </si>
  <si>
    <t>KIT GENERICO + PAD</t>
  </si>
  <si>
    <t xml:space="preserve">GENERICO </t>
  </si>
  <si>
    <t xml:space="preserve">Otoscopio </t>
  </si>
  <si>
    <t>Vinotinto</t>
  </si>
  <si>
    <t xml:space="preserve">FLOROCENTE </t>
  </si>
  <si>
    <t xml:space="preserve">ROJO </t>
  </si>
  <si>
    <t xml:space="preserve">MORADO </t>
  </si>
  <si>
    <t xml:space="preserve">GMD </t>
  </si>
  <si>
    <t>Video otoscopio</t>
  </si>
  <si>
    <t>ORL GENERICO</t>
  </si>
  <si>
    <t>ORL</t>
  </si>
  <si>
    <t xml:space="preserve">  </t>
  </si>
  <si>
    <t>Tensiometro</t>
  </si>
  <si>
    <t>GRIS PLOMO</t>
  </si>
  <si>
    <t>Rosado OSCURO</t>
  </si>
  <si>
    <t>Rosado claro</t>
  </si>
  <si>
    <t xml:space="preserve">   </t>
  </si>
  <si>
    <t>Azul Celeste</t>
  </si>
  <si>
    <t xml:space="preserve">Digital </t>
  </si>
  <si>
    <t>Latidos GMD</t>
  </si>
  <si>
    <t xml:space="preserve">Con Voz </t>
  </si>
  <si>
    <t xml:space="preserve">Sin voz </t>
  </si>
  <si>
    <t xml:space="preserve">Fusion </t>
  </si>
  <si>
    <t xml:space="preserve">PortaDocumentos </t>
  </si>
  <si>
    <t>coral</t>
  </si>
  <si>
    <t xml:space="preserve">TRANSPARENTE </t>
  </si>
  <si>
    <t>ESTAMPADAS</t>
  </si>
  <si>
    <t xml:space="preserve">STICH </t>
  </si>
  <si>
    <t>ROSADA</t>
  </si>
  <si>
    <t>CAPIBARA</t>
  </si>
  <si>
    <t>Oficio</t>
  </si>
  <si>
    <t xml:space="preserve">Rompe Ampollas </t>
  </si>
  <si>
    <t xml:space="preserve">kuromi </t>
  </si>
  <si>
    <t>rana</t>
  </si>
  <si>
    <t xml:space="preserve">picachu </t>
  </si>
  <si>
    <t xml:space="preserve">anime </t>
  </si>
  <si>
    <t xml:space="preserve">mickey </t>
  </si>
  <si>
    <t>sticth rosada</t>
  </si>
  <si>
    <t xml:space="preserve">Plastico </t>
  </si>
  <si>
    <t>Martillo Reflejo</t>
  </si>
  <si>
    <t xml:space="preserve">MARTILLO TAYLOR </t>
  </si>
  <si>
    <t xml:space="preserve">VERDE </t>
  </si>
  <si>
    <t xml:space="preserve">NEGRO </t>
  </si>
  <si>
    <t xml:space="preserve">Cinta Kinestesica </t>
  </si>
  <si>
    <t>Medias Compresivas</t>
  </si>
  <si>
    <t>15-20 mmhg</t>
  </si>
  <si>
    <t>S-M</t>
  </si>
  <si>
    <t xml:space="preserve">Amarillo con azul </t>
  </si>
  <si>
    <t xml:space="preserve">Azul Perro </t>
  </si>
  <si>
    <t>Lila ambulancia</t>
  </si>
  <si>
    <t>Batido  AMARRILLO</t>
  </si>
  <si>
    <t>Rosada con corazones</t>
  </si>
  <si>
    <t>Electro Blanca</t>
  </si>
  <si>
    <t>electro negra</t>
  </si>
  <si>
    <t>Cafe</t>
  </si>
  <si>
    <t>Rosada Medicas</t>
  </si>
  <si>
    <t>Rosada</t>
  </si>
  <si>
    <t xml:space="preserve">Respuesto Littman </t>
  </si>
  <si>
    <t xml:space="preserve">Gris </t>
  </si>
  <si>
    <t xml:space="preserve">Cinta Metrica </t>
  </si>
  <si>
    <t xml:space="preserve">Circular </t>
  </si>
  <si>
    <t xml:space="preserve">Roja </t>
  </si>
  <si>
    <t>Azul</t>
  </si>
  <si>
    <t>Estrella</t>
  </si>
  <si>
    <t xml:space="preserve">Amarilla </t>
  </si>
  <si>
    <t>Cuadrada</t>
  </si>
  <si>
    <t xml:space="preserve">Verde Valcri </t>
  </si>
  <si>
    <t xml:space="preserve">Azul  Valcri </t>
  </si>
  <si>
    <t>OSO</t>
  </si>
  <si>
    <t xml:space="preserve">Goniometro </t>
  </si>
  <si>
    <t xml:space="preserve">Plicometro </t>
  </si>
  <si>
    <t>Oximetro</t>
  </si>
  <si>
    <t xml:space="preserve"> GMD</t>
  </si>
  <si>
    <t xml:space="preserve">Pediatrico </t>
  </si>
  <si>
    <t xml:space="preserve">Generico </t>
  </si>
  <si>
    <t xml:space="preserve">Amarillo </t>
  </si>
  <si>
    <t xml:space="preserve">Dovant </t>
  </si>
  <si>
    <t>GENERICO</t>
  </si>
  <si>
    <t>Dr Jon</t>
  </si>
  <si>
    <t>Glucometro</t>
  </si>
  <si>
    <t>Tiras + lancetas</t>
  </si>
  <si>
    <t>Lancetas</t>
  </si>
  <si>
    <t>Tiras Reactivas</t>
  </si>
  <si>
    <t xml:space="preserve">Tijeras Trauma </t>
  </si>
  <si>
    <t>Morada</t>
  </si>
  <si>
    <t>Valcri</t>
  </si>
  <si>
    <t>Doppler</t>
  </si>
  <si>
    <t xml:space="preserve">Fetal </t>
  </si>
  <si>
    <t>Homelife</t>
  </si>
  <si>
    <t xml:space="preserve">Boligrafo </t>
  </si>
  <si>
    <t>Huesos</t>
  </si>
  <si>
    <t xml:space="preserve">Pastilla </t>
  </si>
  <si>
    <t>MaxiKoala</t>
  </si>
  <si>
    <t>Negros</t>
  </si>
  <si>
    <t xml:space="preserve">FLURECENTE </t>
  </si>
  <si>
    <t>verde Caribeam</t>
  </si>
  <si>
    <t>Verde oliva</t>
  </si>
  <si>
    <t xml:space="preserve">Libro </t>
  </si>
  <si>
    <t>Bandas Elasticas</t>
  </si>
  <si>
    <t>PUNTADOR LASSER</t>
  </si>
  <si>
    <t>PLANTILAS ECG</t>
  </si>
  <si>
    <t xml:space="preserve">gorros </t>
  </si>
  <si>
    <t xml:space="preserve">corazon colorido </t>
  </si>
  <si>
    <t>elastica</t>
  </si>
  <si>
    <t>cerebelo</t>
  </si>
  <si>
    <t xml:space="preserve">Gorros </t>
  </si>
  <si>
    <t xml:space="preserve">Na a todos </t>
  </si>
  <si>
    <t>Moño</t>
  </si>
  <si>
    <t xml:space="preserve">Pines </t>
  </si>
  <si>
    <t xml:space="preserve">Vengo por el chisme </t>
  </si>
  <si>
    <t xml:space="preserve">Te tengo un chisme </t>
  </si>
  <si>
    <t>Wow</t>
  </si>
  <si>
    <t>Modo chisme</t>
  </si>
  <si>
    <t>Contiene exceso</t>
  </si>
  <si>
    <t xml:space="preserve">Codigo </t>
  </si>
  <si>
    <t xml:space="preserve">Cantidad </t>
  </si>
  <si>
    <t xml:space="preserve">Disponibilidad </t>
  </si>
  <si>
    <t xml:space="preserve">Bioanalisis 2D </t>
  </si>
  <si>
    <t xml:space="preserve">Tiras </t>
  </si>
  <si>
    <t>Bioanalisis 2D</t>
  </si>
  <si>
    <t xml:space="preserve">Elastica </t>
  </si>
  <si>
    <t xml:space="preserve">Odontologia Azul </t>
  </si>
  <si>
    <t xml:space="preserve">Cafe </t>
  </si>
  <si>
    <t>Corazon 3D</t>
  </si>
  <si>
    <t xml:space="preserve">Mario Bro </t>
  </si>
  <si>
    <t xml:space="preserve">Toy Story </t>
  </si>
  <si>
    <t>Bioanalisis 3D</t>
  </si>
  <si>
    <t xml:space="preserve">Minions </t>
  </si>
  <si>
    <t>Astronauta</t>
  </si>
  <si>
    <t xml:space="preserve">Gomitas </t>
  </si>
  <si>
    <t>Elastica 3 / moño 1</t>
  </si>
  <si>
    <t xml:space="preserve">Ardilla </t>
  </si>
  <si>
    <t>Ranas</t>
  </si>
  <si>
    <t>Leon</t>
  </si>
  <si>
    <t>Harry Potter</t>
  </si>
  <si>
    <t xml:space="preserve">Sirenita </t>
  </si>
  <si>
    <t xml:space="preserve">Frozen </t>
  </si>
  <si>
    <t>Rayos X</t>
  </si>
  <si>
    <t xml:space="preserve">Pokemon </t>
  </si>
  <si>
    <t xml:space="preserve">Guardianes de la galaxia </t>
  </si>
  <si>
    <t>Bacterias 3D</t>
  </si>
  <si>
    <t xml:space="preserve">The Avengers </t>
  </si>
  <si>
    <t xml:space="preserve">Leopardo Naranja </t>
  </si>
  <si>
    <t xml:space="preserve">Pinguinos </t>
  </si>
  <si>
    <t xml:space="preserve">Star Wars </t>
  </si>
  <si>
    <t xml:space="preserve">Capibara </t>
  </si>
  <si>
    <t>Bacterias 2D</t>
  </si>
  <si>
    <t xml:space="preserve">Cerdito </t>
  </si>
  <si>
    <t xml:space="preserve">Cerezas </t>
  </si>
  <si>
    <t xml:space="preserve">Leopardo Morado </t>
  </si>
  <si>
    <t xml:space="preserve">Abstracto Azul </t>
  </si>
  <si>
    <t xml:space="preserve">Vaca </t>
  </si>
  <si>
    <t>Corazones 2D</t>
  </si>
  <si>
    <t xml:space="preserve">1 Revisar </t>
  </si>
  <si>
    <t>Odontologia 3D Azul</t>
  </si>
  <si>
    <t xml:space="preserve">Odontologia 3D Rosado </t>
  </si>
  <si>
    <t xml:space="preserve">Emoji 2D </t>
  </si>
  <si>
    <t>Emoji 2D Azul</t>
  </si>
  <si>
    <t>Mascota 2 D</t>
  </si>
  <si>
    <t>Enfermeria Copia 2D</t>
  </si>
  <si>
    <t xml:space="preserve">Estrellas </t>
  </si>
  <si>
    <t xml:space="preserve">Abstracto Rosado </t>
  </si>
  <si>
    <t xml:space="preserve">1 goma / 1 moño </t>
  </si>
  <si>
    <t>Organos 2D</t>
  </si>
  <si>
    <t xml:space="preserve">Forma Corazones </t>
  </si>
  <si>
    <t>Enfermeria 2D</t>
  </si>
  <si>
    <t xml:space="preserve">Sandia </t>
  </si>
  <si>
    <t xml:space="preserve">Abstracto Amarillo </t>
  </si>
  <si>
    <t xml:space="preserve">Loro </t>
  </si>
  <si>
    <t>Palmeras</t>
  </si>
  <si>
    <t xml:space="preserve">Odontologia Beige </t>
  </si>
  <si>
    <t>Muelitas</t>
  </si>
  <si>
    <t>Organos 3D</t>
  </si>
  <si>
    <t xml:space="preserve">Azul celeste </t>
  </si>
  <si>
    <t xml:space="preserve">            CONTABILIDAD </t>
  </si>
  <si>
    <t xml:space="preserve">FECHA </t>
  </si>
  <si>
    <t xml:space="preserve">UNIFORME </t>
  </si>
  <si>
    <t>BATAS</t>
  </si>
  <si>
    <t xml:space="preserve">INSUMO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</si>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</sst>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"/>
    <numFmt numFmtId="165" formatCode="dd mmmm"/>
    <numFmt numFmtId="166" formatCode="dd.mm"/>
    <numFmt numFmtId="167" formatCode="d&quot; de &quot;mmmm"/>
    <numFmt numFmtId="168" formatCode="dd-mmmm"/>
    <numFmt numFmtId="169" formatCode="dd/mm"/>
    <numFmt numFmtId="170" formatCode="dd-mm"/>
    <numFmt numFmtId="171" formatCode="d/m"/>
    <numFmt numFmtId="172" formatCode="d-mmmm"/>
    <numFmt numFmtId="173" formatCode="dd/mm/yy"/>
  </numFmts>
  <fonts count="27">
    <font>
      <sz val="10.0"/>
      <color rgb="FF000000"/>
      <name val="Georgia"/>
      <scheme val="minor"/>
    </font>
    <font>
      <b/>
      <sz val="8.0"/>
      <color rgb="FFFFFFFF"/>
      <name val="Arial"/>
    </font>
    <font>
      <b/>
      <color theme="1"/>
      <name val="Georgia"/>
      <scheme val="minor"/>
    </font>
    <font>
      <color theme="1"/>
      <name val="Georgia"/>
      <scheme val="minor"/>
    </font>
    <font>
      <color theme="1"/>
      <name val="Times New Roman"/>
    </font>
    <font>
      <sz val="12.0"/>
      <color theme="1"/>
      <name val="Times New Roman"/>
    </font>
    <font>
      <b/>
      <sz val="12.0"/>
      <color rgb="FFFFFFFF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Times New Roman"/>
    </font>
    <font>
      <b/>
      <sz val="10.0"/>
      <color theme="1"/>
      <name val="Arial"/>
    </font>
    <font>
      <b/>
      <color rgb="FF000000"/>
      <name val="Times New Roman"/>
    </font>
    <font>
      <b/>
      <color rgb="FFFFFFFF"/>
      <name val="Times New Roman"/>
    </font>
    <font>
      <b/>
      <color rgb="FFFFFFFF"/>
      <name val="Arial"/>
    </font>
    <font>
      <b/>
      <color theme="1"/>
      <name val="Arial"/>
    </font>
    <font>
      <b/>
      <color rgb="FF000000"/>
      <name val="Arial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sz val="11.0"/>
      <color theme="1"/>
      <name val="Georgia"/>
      <scheme val="minor"/>
    </font>
    <font>
      <sz val="12.0"/>
      <color theme="1"/>
      <name val="Georgia"/>
      <scheme val="minor"/>
    </font>
    <font>
      <b/>
      <i/>
      <color theme="1"/>
      <name val="Georgia"/>
      <scheme val="minor"/>
    </font>
    <font>
      <b/>
      <sz val="18.0"/>
      <color theme="1"/>
      <name val="Georgia"/>
      <scheme val="minor"/>
    </font>
    <font>
      <b/>
      <sz val="12.0"/>
      <color theme="1"/>
      <name val="Arial"/>
    </font>
    <font>
      <color theme="1"/>
      <name val="Arial"/>
    </font>
    <font>
      <b/>
      <color rgb="FF434343"/>
      <name val="Georgia"/>
      <scheme val="minor"/>
    </font>
    <font>
      <b/>
      <color rgb="FF434343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A64D79"/>
        <bgColor rgb="FFA64D79"/>
      </patternFill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/>
    </xf>
    <xf borderId="0" fillId="3" fontId="3" numFmtId="0" xfId="0" applyFont="1"/>
    <xf borderId="0" fillId="0" fontId="4" numFmtId="0" xfId="0" applyFont="1"/>
    <xf borderId="0" fillId="0" fontId="5" numFmtId="0" xfId="0" applyFont="1"/>
    <xf borderId="0" fillId="3" fontId="2" numFmtId="164" xfId="0" applyAlignment="1" applyFont="1" applyNumberFormat="1">
      <alignment horizontal="center" readingOrder="0"/>
    </xf>
    <xf borderId="0" fillId="3" fontId="3" numFmtId="165" xfId="0" applyAlignment="1" applyFont="1" applyNumberFormat="1">
      <alignment readingOrder="0"/>
    </xf>
    <xf borderId="0" fillId="2" fontId="6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3" fontId="3" numFmtId="166" xfId="0" applyAlignment="1" applyFont="1" applyNumberFormat="1">
      <alignment readingOrder="0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3" fontId="7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3" fontId="8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/>
    </xf>
    <xf borderId="0" fillId="5" fontId="7" numFmtId="0" xfId="0" applyAlignment="1" applyFill="1" applyFont="1">
      <alignment horizontal="center" readingOrder="0" vertical="bottom"/>
    </xf>
    <xf borderId="0" fillId="5" fontId="7" numFmtId="0" xfId="0" applyAlignment="1" applyFont="1">
      <alignment horizontal="center" vertical="bottom"/>
    </xf>
    <xf borderId="0" fillId="5" fontId="9" numFmtId="0" xfId="0" applyAlignment="1" applyFont="1">
      <alignment horizontal="center" readingOrder="0" vertical="bottom"/>
    </xf>
    <xf borderId="0" fillId="6" fontId="7" numFmtId="0" xfId="0" applyAlignment="1" applyFill="1" applyFont="1">
      <alignment horizontal="center" readingOrder="0"/>
    </xf>
    <xf borderId="0" fillId="6" fontId="7" numFmtId="0" xfId="0" applyAlignment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3" fontId="7" numFmtId="0" xfId="0" applyAlignment="1" applyFont="1">
      <alignment horizontal="center"/>
    </xf>
    <xf borderId="0" fillId="3" fontId="12" numFmtId="0" xfId="0" applyAlignment="1" applyFont="1">
      <alignment horizontal="center" readingOrder="0" vertical="bottom"/>
    </xf>
    <xf borderId="0" fillId="3" fontId="13" numFmtId="0" xfId="0" applyAlignment="1" applyFont="1">
      <alignment horizontal="center" vertical="bottom"/>
    </xf>
    <xf borderId="0" fillId="2" fontId="13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5" fontId="7" numFmtId="0" xfId="0" applyAlignment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2" fontId="14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bottom"/>
    </xf>
    <xf borderId="0" fillId="6" fontId="16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3" fontId="16" numFmtId="0" xfId="0" applyAlignment="1" applyFon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0" fillId="2" fontId="14" numFmtId="0" xfId="0" applyAlignment="1" applyFont="1">
      <alignment horizontal="center" readingOrder="0" vertical="bottom"/>
    </xf>
    <xf borderId="0" fillId="8" fontId="6" numFmtId="0" xfId="0" applyAlignment="1" applyFill="1" applyFont="1">
      <alignment horizontal="center" vertical="bottom"/>
    </xf>
    <xf borderId="0" fillId="8" fontId="7" numFmtId="0" xfId="0" applyAlignment="1" applyFont="1">
      <alignment horizontal="center" vertical="bottom"/>
    </xf>
    <xf borderId="0" fillId="8" fontId="9" numFmtId="0" xfId="0" applyAlignment="1" applyFont="1">
      <alignment horizontal="center" vertical="bottom"/>
    </xf>
    <xf borderId="0" fillId="3" fontId="15" numFmtId="0" xfId="0" applyAlignment="1" applyFont="1">
      <alignment horizontal="center" vertical="bottom"/>
    </xf>
    <xf borderId="0" fillId="9" fontId="6" numFmtId="0" xfId="0" applyAlignment="1" applyFill="1" applyFont="1">
      <alignment horizontal="center" vertical="bottom"/>
    </xf>
    <xf borderId="0" fillId="10" fontId="7" numFmtId="0" xfId="0" applyAlignment="1" applyFill="1" applyFont="1">
      <alignment horizontal="center" vertical="bottom"/>
    </xf>
    <xf borderId="0" fillId="10" fontId="7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8" fontId="6" numFmtId="0" xfId="0" applyAlignment="1" applyFont="1">
      <alignment horizontal="center" readingOrder="0" vertical="bottom"/>
    </xf>
    <xf borderId="0" fillId="11" fontId="7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3" fontId="17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/>
    </xf>
    <xf borderId="0" fillId="0" fontId="18" numFmtId="3" xfId="0" applyAlignment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0" fontId="18" numFmtId="0" xfId="0" applyAlignment="1" applyFont="1">
      <alignment horizontal="center"/>
    </xf>
    <xf borderId="0" fillId="0" fontId="19" numFmtId="0" xfId="0" applyFont="1"/>
    <xf borderId="0" fillId="0" fontId="18" numFmtId="9" xfId="0" applyAlignment="1" applyFont="1" applyNumberFormat="1">
      <alignment horizontal="center" readingOrder="0"/>
    </xf>
    <xf borderId="0" fillId="0" fontId="19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8" numFmtId="3" xfId="0" applyAlignment="1" applyFont="1" applyNumberFormat="1">
      <alignment horizontal="center" readingOrder="0"/>
    </xf>
    <xf borderId="0" fillId="0" fontId="20" numFmtId="0" xfId="0" applyFont="1"/>
    <xf borderId="0" fillId="12" fontId="6" numFmtId="0" xfId="0" applyAlignment="1" applyFill="1" applyFont="1">
      <alignment horizontal="center" vertical="bottom"/>
    </xf>
    <xf borderId="0" fillId="0" fontId="2" numFmtId="0" xfId="0" applyAlignment="1" applyFont="1">
      <alignment horizontal="center"/>
    </xf>
    <xf borderId="0" fillId="0" fontId="7" numFmtId="167" xfId="0" applyAlignment="1" applyFont="1" applyNumberForma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0" fontId="7" numFmtId="170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3" fontId="15" numFmtId="0" xfId="0" applyAlignment="1" applyFont="1">
      <alignment horizontal="center" readingOrder="0" vertical="bottom"/>
    </xf>
    <xf borderId="0" fillId="0" fontId="15" numFmtId="0" xfId="0" applyAlignment="1" applyFont="1">
      <alignment horizontal="center" vertical="bottom"/>
    </xf>
    <xf borderId="0" fillId="12" fontId="14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12" fontId="14" numFmtId="0" xfId="0" applyAlignment="1" applyFont="1">
      <alignment horizontal="center" readingOrder="0" vertical="bottom"/>
    </xf>
    <xf borderId="0" fillId="6" fontId="15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13" fontId="14" numFmtId="0" xfId="0" applyAlignment="1" applyFill="1" applyFont="1">
      <alignment horizontal="center" readingOrder="0" vertical="bottom"/>
    </xf>
    <xf borderId="0" fillId="14" fontId="3" numFmtId="0" xfId="0" applyFill="1" applyFont="1"/>
    <xf borderId="0" fillId="14" fontId="3" numFmtId="0" xfId="0" applyAlignment="1" applyFont="1">
      <alignment readingOrder="0"/>
    </xf>
    <xf borderId="0" fillId="14" fontId="10" numFmtId="0" xfId="0" applyAlignment="1" applyFont="1">
      <alignment horizontal="center" readingOrder="0"/>
    </xf>
    <xf borderId="0" fillId="0" fontId="21" numFmtId="168" xfId="0" applyAlignment="1" applyFont="1" applyNumberFormat="1">
      <alignment horizontal="center" readingOrder="0"/>
    </xf>
    <xf borderId="0" fillId="0" fontId="22" numFmtId="171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6" fontId="10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7" numFmtId="172" xfId="0" applyAlignment="1" applyFont="1" applyNumberFormat="1">
      <alignment horizontal="center" readingOrder="0"/>
    </xf>
    <xf borderId="0" fillId="7" fontId="17" numFmtId="0" xfId="0" applyAlignment="1" applyFont="1">
      <alignment horizontal="center" readingOrder="0"/>
    </xf>
    <xf borderId="0" fillId="16" fontId="7" numFmtId="0" xfId="0" applyAlignment="1" applyFill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2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4" fontId="25" numFmtId="0" xfId="0" applyFont="1"/>
    <xf borderId="0" fillId="4" fontId="25" numFmtId="0" xfId="0" applyAlignment="1" applyFont="1">
      <alignment readingOrder="0"/>
    </xf>
    <xf borderId="0" fillId="4" fontId="25" numFmtId="0" xfId="0" applyAlignment="1" applyFont="1">
      <alignment horizontal="center" readingOrder="0"/>
    </xf>
    <xf borderId="0" fillId="2" fontId="26" numFmtId="0" xfId="0" applyAlignment="1" applyFont="1">
      <alignment horizontal="center" readingOrder="0"/>
    </xf>
    <xf borderId="0" fillId="0" fontId="5" numFmtId="173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.png"/><Relationship Id="rId11" Type="http://schemas.openxmlformats.org/officeDocument/2006/relationships/image" Target="../media/image6.png"/><Relationship Id="rId22" Type="http://schemas.openxmlformats.org/officeDocument/2006/relationships/image" Target="../media/image17.png"/><Relationship Id="rId10" Type="http://schemas.openxmlformats.org/officeDocument/2006/relationships/image" Target="../media/image7.png"/><Relationship Id="rId21" Type="http://schemas.openxmlformats.org/officeDocument/2006/relationships/image" Target="../media/image8.png"/><Relationship Id="rId13" Type="http://schemas.openxmlformats.org/officeDocument/2006/relationships/image" Target="../media/image16.png"/><Relationship Id="rId24" Type="http://schemas.openxmlformats.org/officeDocument/2006/relationships/image" Target="../media/image18.png"/><Relationship Id="rId12" Type="http://schemas.openxmlformats.org/officeDocument/2006/relationships/image" Target="../media/image4.png"/><Relationship Id="rId23" Type="http://schemas.openxmlformats.org/officeDocument/2006/relationships/image" Target="../media/image24.png"/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9.png"/><Relationship Id="rId15" Type="http://schemas.openxmlformats.org/officeDocument/2006/relationships/image" Target="../media/image23.png"/><Relationship Id="rId14" Type="http://schemas.openxmlformats.org/officeDocument/2006/relationships/image" Target="../media/image21.png"/><Relationship Id="rId17" Type="http://schemas.openxmlformats.org/officeDocument/2006/relationships/image" Target="../media/image15.png"/><Relationship Id="rId16" Type="http://schemas.openxmlformats.org/officeDocument/2006/relationships/image" Target="../media/image2.png"/><Relationship Id="rId5" Type="http://schemas.openxmlformats.org/officeDocument/2006/relationships/image" Target="../media/image22.png"/><Relationship Id="rId19" Type="http://schemas.openxmlformats.org/officeDocument/2006/relationships/image" Target="../media/image1.png"/><Relationship Id="rId6" Type="http://schemas.openxmlformats.org/officeDocument/2006/relationships/image" Target="../media/image13.png"/><Relationship Id="rId18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166</xdr:row>
      <xdr:rowOff>0</xdr:rowOff>
    </xdr:from>
    <xdr:ext cx="19050" cy="47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</xdr:row>
      <xdr:rowOff>228600</xdr:rowOff>
    </xdr:from>
    <xdr:ext cx="600075" cy="2190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</xdr:row>
      <xdr:rowOff>19050</xdr:rowOff>
    </xdr:from>
    <xdr:ext cx="609600" cy="238125"/>
    <xdr:pic>
      <xdr:nvPicPr>
        <xdr:cNvPr id="0" name="image2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14</xdr:row>
      <xdr:rowOff>38100</xdr:rowOff>
    </xdr:from>
    <xdr:ext cx="609600" cy="209550"/>
    <xdr:pic>
      <xdr:nvPicPr>
        <xdr:cNvPr id="0" name="image1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15</xdr:row>
      <xdr:rowOff>28575</xdr:rowOff>
    </xdr:from>
    <xdr:ext cx="609600" cy="209550"/>
    <xdr:pic>
      <xdr:nvPicPr>
        <xdr:cNvPr id="0" name="image2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35</xdr:row>
      <xdr:rowOff>219075</xdr:rowOff>
    </xdr:from>
    <xdr:ext cx="600075" cy="209550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38</xdr:row>
      <xdr:rowOff>219075</xdr:rowOff>
    </xdr:from>
    <xdr:ext cx="600075" cy="209550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39</xdr:row>
      <xdr:rowOff>219075</xdr:rowOff>
    </xdr:from>
    <xdr:ext cx="609600" cy="228600"/>
    <xdr:pic>
      <xdr:nvPicPr>
        <xdr:cNvPr id="0" name="image19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87</xdr:row>
      <xdr:rowOff>180975</xdr:rowOff>
    </xdr:from>
    <xdr:ext cx="60007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86</xdr:row>
      <xdr:rowOff>190500</xdr:rowOff>
    </xdr:from>
    <xdr:ext cx="628650" cy="219075"/>
    <xdr:pic>
      <xdr:nvPicPr>
        <xdr:cNvPr id="0" name="image2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76</xdr:row>
      <xdr:rowOff>9525</xdr:rowOff>
    </xdr:from>
    <xdr:ext cx="619125" cy="219075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74</xdr:row>
      <xdr:rowOff>209550</xdr:rowOff>
    </xdr:from>
    <xdr:ext cx="619125" cy="24765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89</xdr:row>
      <xdr:rowOff>180975</xdr:rowOff>
    </xdr:from>
    <xdr:ext cx="600075" cy="238125"/>
    <xdr:pic>
      <xdr:nvPicPr>
        <xdr:cNvPr id="0" name="image1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119</xdr:row>
      <xdr:rowOff>19050</xdr:rowOff>
    </xdr:from>
    <xdr:ext cx="609600" cy="209550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112</xdr:row>
      <xdr:rowOff>219075</xdr:rowOff>
    </xdr:from>
    <xdr:ext cx="628650" cy="228600"/>
    <xdr:pic>
      <xdr:nvPicPr>
        <xdr:cNvPr id="0" name="image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113</xdr:row>
      <xdr:rowOff>228600</xdr:rowOff>
    </xdr:from>
    <xdr:ext cx="628650" cy="219075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169</xdr:row>
      <xdr:rowOff>209550</xdr:rowOff>
    </xdr:from>
    <xdr:ext cx="628650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164</xdr:row>
      <xdr:rowOff>180975</xdr:rowOff>
    </xdr:from>
    <xdr:ext cx="600075" cy="2381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163</xdr:row>
      <xdr:rowOff>228600</xdr:rowOff>
    </xdr:from>
    <xdr:ext cx="600075" cy="2095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172</xdr:row>
      <xdr:rowOff>219075</xdr:rowOff>
    </xdr:from>
    <xdr:ext cx="666750" cy="2095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165</xdr:row>
      <xdr:rowOff>209550</xdr:rowOff>
    </xdr:from>
    <xdr:ext cx="628650" cy="20955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173</xdr:row>
      <xdr:rowOff>190500</xdr:rowOff>
    </xdr:from>
    <xdr:ext cx="628650" cy="24765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166</xdr:row>
      <xdr:rowOff>209550</xdr:rowOff>
    </xdr:from>
    <xdr:ext cx="628650" cy="219075"/>
    <xdr:pic>
      <xdr:nvPicPr>
        <xdr:cNvPr id="0" name="image1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171</xdr:row>
      <xdr:rowOff>180975</xdr:rowOff>
    </xdr:from>
    <xdr:ext cx="666750" cy="266700"/>
    <xdr:pic>
      <xdr:nvPicPr>
        <xdr:cNvPr id="0" name="image21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184</xdr:row>
      <xdr:rowOff>200025</xdr:rowOff>
    </xdr:from>
    <xdr:ext cx="619125" cy="21907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216</xdr:row>
      <xdr:rowOff>9525</xdr:rowOff>
    </xdr:from>
    <xdr:ext cx="628650" cy="2095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216</xdr:row>
      <xdr:rowOff>200025</xdr:rowOff>
    </xdr:from>
    <xdr:ext cx="666750" cy="247650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220</xdr:row>
      <xdr:rowOff>209550</xdr:rowOff>
    </xdr:from>
    <xdr:ext cx="628650" cy="228600"/>
    <xdr:pic>
      <xdr:nvPicPr>
        <xdr:cNvPr id="0" name="image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</xdr:row>
      <xdr:rowOff>19050</xdr:rowOff>
    </xdr:from>
    <xdr:ext cx="600075" cy="209550"/>
    <xdr:pic>
      <xdr:nvPicPr>
        <xdr:cNvPr id="0" name="image15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19</xdr:row>
      <xdr:rowOff>19050</xdr:rowOff>
    </xdr:from>
    <xdr:ext cx="619125" cy="219075"/>
    <xdr:pic>
      <xdr:nvPicPr>
        <xdr:cNvPr id="0" name="image1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182</xdr:row>
      <xdr:rowOff>228600</xdr:rowOff>
    </xdr:from>
    <xdr:ext cx="60007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96</xdr:row>
      <xdr:rowOff>228600</xdr:rowOff>
    </xdr:from>
    <xdr:ext cx="628650" cy="26670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135</xdr:row>
      <xdr:rowOff>171450</xdr:rowOff>
    </xdr:from>
    <xdr:ext cx="666750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136</xdr:row>
      <xdr:rowOff>152400</xdr:rowOff>
    </xdr:from>
    <xdr:ext cx="628650" cy="23812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98</xdr:row>
      <xdr:rowOff>9525</xdr:rowOff>
    </xdr:from>
    <xdr:ext cx="600075" cy="23812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160</xdr:row>
      <xdr:rowOff>180975</xdr:rowOff>
    </xdr:from>
    <xdr:ext cx="61912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3</xdr:row>
      <xdr:rowOff>228600</xdr:rowOff>
    </xdr:from>
    <xdr:ext cx="609600" cy="238125"/>
    <xdr:pic>
      <xdr:nvPicPr>
        <xdr:cNvPr id="0" name="image15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37</xdr:row>
      <xdr:rowOff>200025</xdr:rowOff>
    </xdr:from>
    <xdr:ext cx="609600" cy="2381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25</xdr:row>
      <xdr:rowOff>9525</xdr:rowOff>
    </xdr:from>
    <xdr:ext cx="619125" cy="2381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</xdr:row>
      <xdr:rowOff>228600</xdr:rowOff>
    </xdr:from>
    <xdr:ext cx="600075" cy="228600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76</xdr:row>
      <xdr:rowOff>228600</xdr:rowOff>
    </xdr:from>
    <xdr:ext cx="609600" cy="209550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77</xdr:row>
      <xdr:rowOff>209550</xdr:rowOff>
    </xdr:from>
    <xdr:ext cx="666750" cy="2286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82</xdr:row>
      <xdr:rowOff>228600</xdr:rowOff>
    </xdr:from>
    <xdr:ext cx="628650" cy="200025"/>
    <xdr:pic>
      <xdr:nvPicPr>
        <xdr:cNvPr id="0" name="image11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90</xdr:row>
      <xdr:rowOff>209550</xdr:rowOff>
    </xdr:from>
    <xdr:ext cx="600075" cy="219075"/>
    <xdr:pic>
      <xdr:nvPicPr>
        <xdr:cNvPr id="0" name="image1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91</xdr:row>
      <xdr:rowOff>180975</xdr:rowOff>
    </xdr:from>
    <xdr:ext cx="600075" cy="247650"/>
    <xdr:pic>
      <xdr:nvPicPr>
        <xdr:cNvPr id="0" name="image2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99</xdr:row>
      <xdr:rowOff>28575</xdr:rowOff>
    </xdr:from>
    <xdr:ext cx="628650" cy="219075"/>
    <xdr:pic>
      <xdr:nvPicPr>
        <xdr:cNvPr id="0" name="image1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111</xdr:row>
      <xdr:rowOff>219075</xdr:rowOff>
    </xdr:from>
    <xdr:ext cx="628650" cy="219075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137</xdr:row>
      <xdr:rowOff>190500</xdr:rowOff>
    </xdr:from>
    <xdr:ext cx="666750" cy="228600"/>
    <xdr:pic>
      <xdr:nvPicPr>
        <xdr:cNvPr id="0" name="image1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176</xdr:row>
      <xdr:rowOff>219075</xdr:rowOff>
    </xdr:from>
    <xdr:ext cx="666750" cy="200025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167</xdr:row>
      <xdr:rowOff>190500</xdr:rowOff>
    </xdr:from>
    <xdr:ext cx="628650" cy="247650"/>
    <xdr:pic>
      <xdr:nvPicPr>
        <xdr:cNvPr id="0" name="image10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202</xdr:row>
      <xdr:rowOff>9525</xdr:rowOff>
    </xdr:from>
    <xdr:ext cx="628650" cy="219075"/>
    <xdr:pic>
      <xdr:nvPicPr>
        <xdr:cNvPr id="0" name="image8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213</xdr:row>
      <xdr:rowOff>209550</xdr:rowOff>
    </xdr:from>
    <xdr:ext cx="628650" cy="20955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214</xdr:row>
      <xdr:rowOff>219075</xdr:rowOff>
    </xdr:from>
    <xdr:ext cx="60007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88</xdr:row>
      <xdr:rowOff>171450</xdr:rowOff>
    </xdr:from>
    <xdr:ext cx="60007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</xdr:row>
      <xdr:rowOff>19050</xdr:rowOff>
    </xdr:from>
    <xdr:ext cx="600075" cy="21907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5</xdr:row>
      <xdr:rowOff>9525</xdr:rowOff>
    </xdr:from>
    <xdr:ext cx="609600" cy="23812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40</xdr:row>
      <xdr:rowOff>200025</xdr:rowOff>
    </xdr:from>
    <xdr:ext cx="628650" cy="23812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78</xdr:row>
      <xdr:rowOff>200025</xdr:rowOff>
    </xdr:from>
    <xdr:ext cx="628650" cy="23812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123</xdr:row>
      <xdr:rowOff>19050</xdr:rowOff>
    </xdr:from>
    <xdr:ext cx="609600" cy="219075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168</xdr:row>
      <xdr:rowOff>209550</xdr:rowOff>
    </xdr:from>
    <xdr:ext cx="628650" cy="228600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185</xdr:row>
      <xdr:rowOff>200025</xdr:rowOff>
    </xdr:from>
    <xdr:ext cx="600075" cy="228600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200</xdr:row>
      <xdr:rowOff>200025</xdr:rowOff>
    </xdr:from>
    <xdr:ext cx="600075" cy="266700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70</xdr:row>
      <xdr:rowOff>9525</xdr:rowOff>
    </xdr:from>
    <xdr:ext cx="666750" cy="209550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128</xdr:row>
      <xdr:rowOff>19050</xdr:rowOff>
    </xdr:from>
    <xdr:ext cx="628650" cy="219075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128</xdr:row>
      <xdr:rowOff>219075</xdr:rowOff>
    </xdr:from>
    <xdr:ext cx="628650" cy="219075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129</xdr:row>
      <xdr:rowOff>9525</xdr:rowOff>
    </xdr:from>
    <xdr:ext cx="628650" cy="266700"/>
    <xdr:pic>
      <xdr:nvPicPr>
        <xdr:cNvPr id="0" name="image17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130</xdr:row>
      <xdr:rowOff>9525</xdr:rowOff>
    </xdr:from>
    <xdr:ext cx="600075" cy="266700"/>
    <xdr:pic>
      <xdr:nvPicPr>
        <xdr:cNvPr id="0" name="image24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188</xdr:row>
      <xdr:rowOff>19050</xdr:rowOff>
    </xdr:from>
    <xdr:ext cx="666750" cy="21907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190</xdr:row>
      <xdr:rowOff>238125</xdr:rowOff>
    </xdr:from>
    <xdr:ext cx="666750" cy="21907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188</xdr:row>
      <xdr:rowOff>209550</xdr:rowOff>
    </xdr:from>
    <xdr:ext cx="67627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92</xdr:row>
      <xdr:rowOff>219075</xdr:rowOff>
    </xdr:from>
    <xdr:ext cx="628650" cy="228600"/>
    <xdr:pic>
      <xdr:nvPicPr>
        <xdr:cNvPr id="0" name="image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93</xdr:row>
      <xdr:rowOff>219075</xdr:rowOff>
    </xdr:from>
    <xdr:ext cx="619125" cy="200025"/>
    <xdr:pic>
      <xdr:nvPicPr>
        <xdr:cNvPr id="0" name="image17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202</xdr:row>
      <xdr:rowOff>209550</xdr:rowOff>
    </xdr:from>
    <xdr:ext cx="67627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161</xdr:row>
      <xdr:rowOff>200025</xdr:rowOff>
    </xdr:from>
    <xdr:ext cx="600075" cy="219075"/>
    <xdr:pic>
      <xdr:nvPicPr>
        <xdr:cNvPr id="0" name="image18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183</xdr:row>
      <xdr:rowOff>228600</xdr:rowOff>
    </xdr:from>
    <xdr:ext cx="628650" cy="219075"/>
    <xdr:pic>
      <xdr:nvPicPr>
        <xdr:cNvPr id="0" name="image18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199</xdr:row>
      <xdr:rowOff>219075</xdr:rowOff>
    </xdr:from>
    <xdr:ext cx="619125" cy="219075"/>
    <xdr:pic>
      <xdr:nvPicPr>
        <xdr:cNvPr id="0" name="image18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170</xdr:row>
      <xdr:rowOff>180975</xdr:rowOff>
    </xdr:from>
    <xdr:ext cx="628650" cy="23812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99</xdr:row>
      <xdr:rowOff>228600</xdr:rowOff>
    </xdr:from>
    <xdr:ext cx="628650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1343025</xdr:colOff>
      <xdr:row>138</xdr:row>
      <xdr:rowOff>180975</xdr:rowOff>
    </xdr:from>
    <xdr:ext cx="666750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26</xdr:row>
      <xdr:rowOff>9525</xdr:rowOff>
    </xdr:from>
    <xdr:ext cx="609600" cy="23812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67</xdr:row>
      <xdr:rowOff>219075</xdr:rowOff>
    </xdr:from>
    <xdr:ext cx="666750" cy="23812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105</xdr:row>
      <xdr:rowOff>209550</xdr:rowOff>
    </xdr:from>
    <xdr:ext cx="666750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36</xdr:row>
      <xdr:rowOff>209550</xdr:rowOff>
    </xdr:from>
    <xdr:ext cx="619125" cy="219075"/>
    <xdr:pic>
      <xdr:nvPicPr>
        <xdr:cNvPr id="0" name="image1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79</xdr:row>
      <xdr:rowOff>209550</xdr:rowOff>
    </xdr:from>
    <xdr:ext cx="628650" cy="219075"/>
    <xdr:pic>
      <xdr:nvPicPr>
        <xdr:cNvPr id="0" name="image1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110</xdr:row>
      <xdr:rowOff>209550</xdr:rowOff>
    </xdr:from>
    <xdr:ext cx="628650" cy="219075"/>
    <xdr:pic>
      <xdr:nvPicPr>
        <xdr:cNvPr id="0" name="image1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177</xdr:row>
      <xdr:rowOff>200025</xdr:rowOff>
    </xdr:from>
    <xdr:ext cx="666750" cy="238125"/>
    <xdr:pic>
      <xdr:nvPicPr>
        <xdr:cNvPr id="0" name="image15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26</xdr:row>
      <xdr:rowOff>209550</xdr:rowOff>
    </xdr:from>
    <xdr:ext cx="619125" cy="23812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28</xdr:row>
      <xdr:rowOff>190500</xdr:rowOff>
    </xdr:from>
    <xdr:ext cx="619125" cy="257175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27</xdr:row>
      <xdr:rowOff>219075</xdr:rowOff>
    </xdr:from>
    <xdr:ext cx="600075" cy="219075"/>
    <xdr:pic>
      <xdr:nvPicPr>
        <xdr:cNvPr id="0" name="image1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119</xdr:row>
      <xdr:rowOff>200025</xdr:rowOff>
    </xdr:from>
    <xdr:ext cx="600075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221</xdr:row>
      <xdr:rowOff>238125</xdr:rowOff>
    </xdr:from>
    <xdr:ext cx="619125" cy="219075"/>
    <xdr:pic>
      <xdr:nvPicPr>
        <xdr:cNvPr id="0" name="image18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132</xdr:row>
      <xdr:rowOff>200025</xdr:rowOff>
    </xdr:from>
    <xdr:ext cx="619125" cy="247650"/>
    <xdr:pic>
      <xdr:nvPicPr>
        <xdr:cNvPr id="0" name="image2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125</xdr:row>
      <xdr:rowOff>219075</xdr:rowOff>
    </xdr:from>
    <xdr:ext cx="619125" cy="238125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131</xdr:row>
      <xdr:rowOff>219075</xdr:rowOff>
    </xdr:from>
    <xdr:ext cx="609600" cy="200025"/>
    <xdr:pic>
      <xdr:nvPicPr>
        <xdr:cNvPr id="0" name="image1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130</xdr:row>
      <xdr:rowOff>228600</xdr:rowOff>
    </xdr:from>
    <xdr:ext cx="619125" cy="2190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134</xdr:row>
      <xdr:rowOff>190500</xdr:rowOff>
    </xdr:from>
    <xdr:ext cx="666750" cy="23812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133</xdr:row>
      <xdr:rowOff>228600</xdr:rowOff>
    </xdr:from>
    <xdr:ext cx="666750" cy="238125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151</xdr:row>
      <xdr:rowOff>219075</xdr:rowOff>
    </xdr:from>
    <xdr:ext cx="666750" cy="2476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146</xdr:row>
      <xdr:rowOff>209550</xdr:rowOff>
    </xdr:from>
    <xdr:ext cx="628650" cy="247650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6</xdr:row>
      <xdr:rowOff>209550</xdr:rowOff>
    </xdr:from>
    <xdr:ext cx="609600" cy="219075"/>
    <xdr:pic>
      <xdr:nvPicPr>
        <xdr:cNvPr id="0" name="image1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</xdr:row>
      <xdr:rowOff>228600</xdr:rowOff>
    </xdr:from>
    <xdr:ext cx="619125" cy="238125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</xdr:row>
      <xdr:rowOff>28575</xdr:rowOff>
    </xdr:from>
    <xdr:ext cx="600075" cy="228600"/>
    <xdr:pic>
      <xdr:nvPicPr>
        <xdr:cNvPr id="0" name="image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</xdr:row>
      <xdr:rowOff>228600</xdr:rowOff>
    </xdr:from>
    <xdr:ext cx="600075" cy="2381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29</xdr:row>
      <xdr:rowOff>228600</xdr:rowOff>
    </xdr:from>
    <xdr:ext cx="619125" cy="257175"/>
    <xdr:pic>
      <xdr:nvPicPr>
        <xdr:cNvPr id="0" name="image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106</xdr:row>
      <xdr:rowOff>209550</xdr:rowOff>
    </xdr:from>
    <xdr:ext cx="600075" cy="219075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109</xdr:row>
      <xdr:rowOff>219075</xdr:rowOff>
    </xdr:from>
    <xdr:ext cx="600075" cy="2286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144</xdr:row>
      <xdr:rowOff>180975</xdr:rowOff>
    </xdr:from>
    <xdr:ext cx="666750" cy="247650"/>
    <xdr:pic>
      <xdr:nvPicPr>
        <xdr:cNvPr id="0" name="image2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186</xdr:row>
      <xdr:rowOff>238125</xdr:rowOff>
    </xdr:from>
    <xdr:ext cx="666750" cy="238125"/>
    <xdr:pic>
      <xdr:nvPicPr>
        <xdr:cNvPr id="0" name="image15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1371600</xdr:colOff>
      <xdr:row>223</xdr:row>
      <xdr:rowOff>19050</xdr:rowOff>
    </xdr:from>
    <xdr:ext cx="628650" cy="228600"/>
    <xdr:pic>
      <xdr:nvPicPr>
        <xdr:cNvPr id="0" name="image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8.63"/>
    <col customWidth="1" min="3" max="3" width="22.13"/>
    <col customWidth="1" min="9" max="9" width="16.88"/>
    <col customWidth="1" min="10" max="10" width="37.0"/>
    <col customWidth="1" min="11" max="11" width="29.25"/>
    <col customWidth="1" min="14" max="14" width="21.13"/>
  </cols>
  <sheetData>
    <row r="1">
      <c r="A1" s="1" t="s">
        <v>0</v>
      </c>
      <c r="J1" s="2"/>
      <c r="K1" s="3"/>
      <c r="L1" s="3"/>
      <c r="M1" s="3"/>
      <c r="N1" s="3"/>
      <c r="O1" s="3"/>
      <c r="P1" s="3"/>
      <c r="Q1" s="3"/>
    </row>
    <row r="2">
      <c r="A2" s="4"/>
      <c r="B2" s="4"/>
      <c r="C2" s="5"/>
      <c r="D2" s="4"/>
      <c r="E2" s="4"/>
      <c r="F2" s="4"/>
      <c r="G2" s="4"/>
      <c r="H2" s="4"/>
      <c r="I2" s="4"/>
      <c r="J2" s="6">
        <v>46104.0</v>
      </c>
      <c r="K2" s="7">
        <v>46135.0</v>
      </c>
      <c r="L2" s="3"/>
      <c r="M2" s="3"/>
      <c r="N2" s="3"/>
      <c r="O2" s="3"/>
      <c r="P2" s="3"/>
      <c r="Q2" s="3"/>
    </row>
    <row r="3">
      <c r="A3" s="8" t="s">
        <v>1</v>
      </c>
      <c r="B3" s="8"/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9"/>
      <c r="J3" s="10"/>
      <c r="K3" s="11"/>
      <c r="L3" s="3"/>
      <c r="M3" s="3"/>
      <c r="N3" s="3"/>
      <c r="O3" s="3"/>
      <c r="P3" s="3"/>
      <c r="Q3" s="3"/>
    </row>
    <row r="4">
      <c r="A4" s="12" t="s">
        <v>8</v>
      </c>
      <c r="B4" s="13"/>
      <c r="C4" s="13" t="s">
        <v>9</v>
      </c>
      <c r="D4" s="14" t="s">
        <v>10</v>
      </c>
      <c r="E4" s="12" t="s">
        <v>11</v>
      </c>
      <c r="F4" s="12">
        <v>1.0</v>
      </c>
      <c r="G4" s="12">
        <v>35.0</v>
      </c>
      <c r="H4" s="15">
        <f>PRODUCT(F4:G4)</f>
        <v>35</v>
      </c>
      <c r="I4" s="16" t="s">
        <v>12</v>
      </c>
      <c r="J4" s="17"/>
      <c r="K4" s="18"/>
      <c r="L4" s="3"/>
      <c r="M4" s="3"/>
      <c r="N4" s="3"/>
      <c r="O4" s="3"/>
      <c r="P4" s="3"/>
      <c r="Q4" s="3"/>
    </row>
    <row r="5">
      <c r="A5" s="12" t="s">
        <v>13</v>
      </c>
      <c r="B5" s="13"/>
      <c r="C5" s="19" t="s">
        <v>14</v>
      </c>
      <c r="D5" s="14" t="s">
        <v>10</v>
      </c>
      <c r="E5" s="12" t="s">
        <v>15</v>
      </c>
      <c r="F5" s="20">
        <v>1.0</v>
      </c>
      <c r="G5" s="12">
        <v>35.0</v>
      </c>
      <c r="H5" s="12">
        <v>20.0</v>
      </c>
      <c r="I5" s="16" t="s">
        <v>12</v>
      </c>
      <c r="J5" s="17"/>
      <c r="K5" s="18"/>
      <c r="L5" s="3"/>
      <c r="M5" s="3"/>
      <c r="N5" s="3"/>
      <c r="O5" s="3"/>
      <c r="P5" s="3"/>
      <c r="Q5" s="3"/>
    </row>
    <row r="6">
      <c r="A6" s="12" t="s">
        <v>13</v>
      </c>
      <c r="B6" s="21" t="s">
        <v>16</v>
      </c>
      <c r="C6" s="19" t="s">
        <v>17</v>
      </c>
      <c r="D6" s="14" t="s">
        <v>10</v>
      </c>
      <c r="E6" s="12" t="s">
        <v>15</v>
      </c>
      <c r="F6" s="22">
        <v>3.0</v>
      </c>
      <c r="G6" s="22"/>
      <c r="H6" s="23"/>
      <c r="I6" s="24">
        <v>0.0</v>
      </c>
      <c r="J6" s="17"/>
      <c r="K6" s="18"/>
      <c r="L6" s="3"/>
      <c r="M6" s="3"/>
      <c r="N6" s="3"/>
      <c r="O6" s="3"/>
      <c r="P6" s="3"/>
      <c r="Q6" s="3"/>
    </row>
    <row r="7">
      <c r="A7" s="12" t="s">
        <v>13</v>
      </c>
      <c r="B7" s="21"/>
      <c r="C7" s="19" t="s">
        <v>18</v>
      </c>
      <c r="D7" s="14" t="s">
        <v>10</v>
      </c>
      <c r="E7" s="12" t="s">
        <v>15</v>
      </c>
      <c r="F7" s="20">
        <v>1.0</v>
      </c>
      <c r="G7" s="12"/>
      <c r="H7" s="15"/>
      <c r="I7" s="16" t="s">
        <v>12</v>
      </c>
      <c r="J7" s="17"/>
      <c r="K7" s="18"/>
      <c r="L7" s="3"/>
      <c r="M7" s="3"/>
      <c r="N7" s="3"/>
      <c r="O7" s="3"/>
      <c r="P7" s="3"/>
      <c r="Q7" s="3"/>
    </row>
    <row r="8">
      <c r="A8" s="12" t="s">
        <v>19</v>
      </c>
      <c r="B8" s="13"/>
      <c r="C8" s="13" t="s">
        <v>18</v>
      </c>
      <c r="D8" s="14" t="s">
        <v>10</v>
      </c>
      <c r="E8" s="12" t="s">
        <v>15</v>
      </c>
      <c r="F8" s="12">
        <v>1.0</v>
      </c>
      <c r="G8" s="12"/>
      <c r="H8" s="15"/>
      <c r="I8" s="16" t="s">
        <v>12</v>
      </c>
      <c r="J8" s="17"/>
      <c r="K8" s="18"/>
      <c r="L8" s="3"/>
      <c r="M8" s="3"/>
      <c r="N8" s="3"/>
      <c r="O8" s="3"/>
      <c r="P8" s="3"/>
      <c r="Q8" s="3"/>
    </row>
    <row r="9">
      <c r="A9" s="12" t="s">
        <v>19</v>
      </c>
      <c r="B9" s="13"/>
      <c r="C9" s="13" t="s">
        <v>17</v>
      </c>
      <c r="D9" s="14" t="s">
        <v>10</v>
      </c>
      <c r="E9" s="12" t="s">
        <v>15</v>
      </c>
      <c r="F9" s="12">
        <v>7.0</v>
      </c>
      <c r="G9" s="12"/>
      <c r="H9" s="15"/>
      <c r="I9" s="16" t="s">
        <v>12</v>
      </c>
      <c r="J9" s="17"/>
      <c r="K9" s="18"/>
      <c r="L9" s="3"/>
      <c r="M9" s="3"/>
      <c r="N9" s="3"/>
      <c r="O9" s="3"/>
      <c r="P9" s="3"/>
      <c r="Q9" s="3"/>
    </row>
    <row r="10">
      <c r="A10" s="12" t="s">
        <v>19</v>
      </c>
      <c r="B10" s="13"/>
      <c r="C10" s="13" t="s">
        <v>20</v>
      </c>
      <c r="D10" s="14" t="s">
        <v>10</v>
      </c>
      <c r="E10" s="12" t="s">
        <v>15</v>
      </c>
      <c r="F10" s="12">
        <v>1.0</v>
      </c>
      <c r="G10" s="12"/>
      <c r="H10" s="15"/>
      <c r="I10" s="16" t="s">
        <v>12</v>
      </c>
      <c r="J10" s="17"/>
      <c r="K10" s="18"/>
      <c r="L10" s="3"/>
      <c r="M10" s="3"/>
      <c r="N10" s="3"/>
      <c r="O10" s="3"/>
      <c r="P10" s="3"/>
      <c r="Q10" s="3"/>
    </row>
    <row r="11">
      <c r="A11" s="12" t="s">
        <v>19</v>
      </c>
      <c r="B11" s="13"/>
      <c r="C11" s="13" t="s">
        <v>21</v>
      </c>
      <c r="D11" s="14" t="s">
        <v>10</v>
      </c>
      <c r="E11" s="12" t="s">
        <v>15</v>
      </c>
      <c r="F11" s="12">
        <v>1.0</v>
      </c>
      <c r="G11" s="12"/>
      <c r="H11" s="15"/>
      <c r="I11" s="16" t="s">
        <v>22</v>
      </c>
      <c r="J11" s="17"/>
      <c r="K11" s="18"/>
      <c r="L11" s="3"/>
      <c r="M11" s="3"/>
      <c r="N11" s="3"/>
      <c r="O11" s="3"/>
      <c r="P11" s="3"/>
      <c r="Q11" s="3"/>
    </row>
    <row r="12">
      <c r="A12" s="12" t="s">
        <v>19</v>
      </c>
      <c r="B12" s="13"/>
      <c r="C12" s="13" t="s">
        <v>23</v>
      </c>
      <c r="D12" s="14" t="s">
        <v>10</v>
      </c>
      <c r="E12" s="12" t="s">
        <v>15</v>
      </c>
      <c r="F12" s="12">
        <v>1.0</v>
      </c>
      <c r="G12" s="12"/>
      <c r="H12" s="15"/>
      <c r="I12" s="16" t="s">
        <v>12</v>
      </c>
      <c r="J12" s="17"/>
      <c r="K12" s="18"/>
      <c r="L12" s="3"/>
      <c r="M12" s="3"/>
      <c r="N12" s="3"/>
      <c r="O12" s="3"/>
      <c r="P12" s="3"/>
      <c r="Q12" s="3"/>
    </row>
    <row r="13">
      <c r="A13" s="12" t="s">
        <v>19</v>
      </c>
      <c r="B13" s="13"/>
      <c r="C13" s="25" t="s">
        <v>24</v>
      </c>
      <c r="D13" s="14" t="s">
        <v>10</v>
      </c>
      <c r="E13" s="12" t="s">
        <v>15</v>
      </c>
      <c r="F13" s="26">
        <v>0.0</v>
      </c>
      <c r="G13" s="12"/>
      <c r="H13" s="15"/>
      <c r="I13" s="16" t="s">
        <v>12</v>
      </c>
      <c r="J13" s="17"/>
      <c r="K13" s="18"/>
      <c r="L13" s="3"/>
      <c r="M13" s="3"/>
      <c r="N13" s="3"/>
      <c r="O13" s="3"/>
      <c r="P13" s="3"/>
      <c r="Q13" s="3"/>
    </row>
    <row r="14">
      <c r="A14" s="12" t="s">
        <v>19</v>
      </c>
      <c r="B14" s="13"/>
      <c r="C14" s="13" t="s">
        <v>25</v>
      </c>
      <c r="D14" s="14" t="s">
        <v>10</v>
      </c>
      <c r="E14" s="12" t="s">
        <v>15</v>
      </c>
      <c r="F14" s="12">
        <v>2.0</v>
      </c>
      <c r="G14" s="12">
        <v>48.0</v>
      </c>
      <c r="H14" s="15">
        <f t="shared" ref="H14:H20" si="1">PRODUCT(F14:G14)</f>
        <v>96</v>
      </c>
      <c r="I14" s="16" t="s">
        <v>12</v>
      </c>
      <c r="J14" s="17"/>
      <c r="K14" s="18"/>
      <c r="L14" s="3"/>
      <c r="M14" s="3"/>
      <c r="N14" s="3"/>
      <c r="O14" s="3"/>
      <c r="P14" s="3"/>
      <c r="Q14" s="3"/>
    </row>
    <row r="15">
      <c r="A15" s="12" t="s">
        <v>19</v>
      </c>
      <c r="B15" s="13"/>
      <c r="C15" s="19" t="s">
        <v>26</v>
      </c>
      <c r="D15" s="14" t="s">
        <v>10</v>
      </c>
      <c r="E15" s="15" t="s">
        <v>15</v>
      </c>
      <c r="F15" s="12">
        <v>1.0</v>
      </c>
      <c r="G15" s="12">
        <v>48.0</v>
      </c>
      <c r="H15" s="15">
        <f t="shared" si="1"/>
        <v>48</v>
      </c>
      <c r="I15" s="16" t="s">
        <v>12</v>
      </c>
      <c r="J15" s="17"/>
      <c r="K15" s="18"/>
      <c r="L15" s="3"/>
      <c r="M15" s="3"/>
      <c r="N15" s="3"/>
      <c r="O15" s="3"/>
      <c r="P15" s="3"/>
      <c r="Q15" s="3"/>
    </row>
    <row r="16">
      <c r="A16" s="12" t="s">
        <v>19</v>
      </c>
      <c r="B16" s="13"/>
      <c r="C16" s="13" t="s">
        <v>27</v>
      </c>
      <c r="D16" s="14" t="s">
        <v>10</v>
      </c>
      <c r="E16" s="12" t="s">
        <v>15</v>
      </c>
      <c r="F16" s="12">
        <v>1.0</v>
      </c>
      <c r="G16" s="12">
        <v>48.0</v>
      </c>
      <c r="H16" s="15">
        <f t="shared" si="1"/>
        <v>48</v>
      </c>
      <c r="I16" s="16" t="s">
        <v>12</v>
      </c>
      <c r="J16" s="17"/>
      <c r="K16" s="18"/>
      <c r="L16" s="3"/>
      <c r="M16" s="3"/>
      <c r="N16" s="3"/>
      <c r="O16" s="3"/>
      <c r="P16" s="3"/>
      <c r="Q16" s="3"/>
    </row>
    <row r="17">
      <c r="A17" s="12" t="s">
        <v>19</v>
      </c>
      <c r="B17" s="13"/>
      <c r="C17" s="13" t="s">
        <v>28</v>
      </c>
      <c r="D17" s="14" t="s">
        <v>10</v>
      </c>
      <c r="E17" s="15" t="s">
        <v>15</v>
      </c>
      <c r="F17" s="20">
        <v>14.0</v>
      </c>
      <c r="G17" s="12">
        <v>48.0</v>
      </c>
      <c r="H17" s="15">
        <f t="shared" si="1"/>
        <v>672</v>
      </c>
      <c r="I17" s="16" t="s">
        <v>12</v>
      </c>
      <c r="J17" s="17"/>
      <c r="K17" s="18"/>
      <c r="L17" s="3"/>
      <c r="M17" s="3"/>
      <c r="N17" s="3"/>
      <c r="O17" s="3"/>
      <c r="P17" s="3"/>
      <c r="Q17" s="3"/>
    </row>
    <row r="18">
      <c r="A18" s="12" t="s">
        <v>29</v>
      </c>
      <c r="B18" s="13"/>
      <c r="C18" s="13" t="s">
        <v>30</v>
      </c>
      <c r="D18" s="14" t="s">
        <v>10</v>
      </c>
      <c r="E18" s="12" t="s">
        <v>11</v>
      </c>
      <c r="F18" s="27">
        <v>1.0</v>
      </c>
      <c r="G18" s="12">
        <v>75.0</v>
      </c>
      <c r="H18" s="15">
        <f t="shared" si="1"/>
        <v>75</v>
      </c>
      <c r="I18" s="16" t="s">
        <v>12</v>
      </c>
      <c r="J18" s="17"/>
      <c r="K18" s="18"/>
      <c r="L18" s="3"/>
      <c r="M18" s="3"/>
      <c r="N18" s="3"/>
      <c r="O18" s="3"/>
      <c r="P18" s="3"/>
      <c r="Q18" s="3"/>
    </row>
    <row r="19">
      <c r="A19" s="12" t="s">
        <v>31</v>
      </c>
      <c r="B19" s="9"/>
      <c r="C19" s="19" t="s">
        <v>14</v>
      </c>
      <c r="D19" s="14" t="s">
        <v>10</v>
      </c>
      <c r="E19" s="12" t="s">
        <v>15</v>
      </c>
      <c r="F19" s="27">
        <v>1.0</v>
      </c>
      <c r="G19" s="12">
        <v>120.0</v>
      </c>
      <c r="H19" s="15">
        <f t="shared" si="1"/>
        <v>120</v>
      </c>
      <c r="I19" s="28" t="s">
        <v>12</v>
      </c>
      <c r="J19" s="17"/>
      <c r="K19" s="18"/>
      <c r="L19" s="3"/>
      <c r="M19" s="3"/>
      <c r="N19" s="3"/>
      <c r="O19" s="3"/>
      <c r="P19" s="3"/>
      <c r="Q19" s="3"/>
    </row>
    <row r="20">
      <c r="A20" s="12" t="s">
        <v>31</v>
      </c>
      <c r="B20" s="9"/>
      <c r="C20" s="19" t="s">
        <v>32</v>
      </c>
      <c r="D20" s="14" t="s">
        <v>10</v>
      </c>
      <c r="E20" s="12" t="s">
        <v>15</v>
      </c>
      <c r="F20" s="27">
        <v>1.0</v>
      </c>
      <c r="G20" s="12">
        <v>120.0</v>
      </c>
      <c r="H20" s="15">
        <f t="shared" si="1"/>
        <v>120</v>
      </c>
      <c r="I20" s="28" t="s">
        <v>12</v>
      </c>
      <c r="J20" s="17"/>
      <c r="K20" s="18"/>
      <c r="L20" s="3"/>
      <c r="M20" s="3"/>
      <c r="N20" s="3"/>
      <c r="O20" s="3"/>
      <c r="P20" s="3"/>
      <c r="Q20" s="3"/>
    </row>
    <row r="21">
      <c r="A21" s="12" t="s">
        <v>31</v>
      </c>
      <c r="B21" s="9"/>
      <c r="C21" s="19" t="s">
        <v>33</v>
      </c>
      <c r="D21" s="29"/>
      <c r="E21" s="12" t="s">
        <v>15</v>
      </c>
      <c r="F21" s="30">
        <v>1.0</v>
      </c>
      <c r="G21" s="12"/>
      <c r="H21" s="15"/>
      <c r="I21" s="16"/>
      <c r="J21" s="10"/>
      <c r="K21" s="3"/>
      <c r="L21" s="3"/>
      <c r="M21" s="3"/>
      <c r="N21" s="3"/>
      <c r="O21" s="3"/>
      <c r="P21" s="3"/>
      <c r="Q21" s="3"/>
    </row>
    <row r="22">
      <c r="A22" s="15"/>
      <c r="B22" s="9"/>
      <c r="C22" s="19"/>
      <c r="D22" s="29"/>
      <c r="E22" s="31"/>
      <c r="F22" s="31"/>
      <c r="G22" s="12"/>
      <c r="H22" s="15"/>
      <c r="I22" s="16"/>
      <c r="J22" s="10"/>
      <c r="K22" s="3"/>
      <c r="L22" s="3"/>
      <c r="M22" s="3"/>
      <c r="N22" s="3"/>
      <c r="O22" s="3"/>
      <c r="P22" s="3"/>
      <c r="Q22" s="3"/>
    </row>
    <row r="23">
      <c r="A23" s="15"/>
      <c r="B23" s="9"/>
      <c r="C23" s="9"/>
      <c r="D23" s="29"/>
      <c r="E23" s="32" t="s">
        <v>34</v>
      </c>
      <c r="G23" s="12"/>
      <c r="H23" s="15"/>
      <c r="I23" s="16"/>
      <c r="J23" s="10"/>
      <c r="K23" s="3"/>
      <c r="L23" s="3"/>
      <c r="M23" s="3"/>
      <c r="N23" s="3"/>
      <c r="O23" s="3"/>
      <c r="P23" s="3"/>
      <c r="Q23" s="3"/>
    </row>
    <row r="24">
      <c r="A24" s="15"/>
      <c r="B24" s="9"/>
      <c r="C24" s="9"/>
      <c r="D24" s="29"/>
      <c r="E24" s="15"/>
      <c r="F24" s="12"/>
      <c r="G24" s="12"/>
      <c r="H24" s="15"/>
      <c r="I24" s="33"/>
      <c r="J24" s="10"/>
      <c r="K24" s="3"/>
      <c r="L24" s="3"/>
      <c r="M24" s="3"/>
      <c r="N24" s="3"/>
      <c r="O24" s="3"/>
      <c r="P24" s="3"/>
      <c r="Q24" s="3"/>
    </row>
    <row r="25">
      <c r="A25" s="8" t="s">
        <v>1</v>
      </c>
      <c r="B25" s="8"/>
      <c r="C25" s="8" t="s">
        <v>2</v>
      </c>
      <c r="D25" s="8" t="s">
        <v>3</v>
      </c>
      <c r="E25" s="8" t="s">
        <v>4</v>
      </c>
      <c r="F25" s="8" t="s">
        <v>5</v>
      </c>
      <c r="G25" s="8" t="s">
        <v>6</v>
      </c>
      <c r="H25" s="8" t="s">
        <v>7</v>
      </c>
      <c r="I25" s="33"/>
      <c r="J25" s="10"/>
      <c r="K25" s="3"/>
      <c r="L25" s="3"/>
      <c r="M25" s="3"/>
      <c r="N25" s="3"/>
      <c r="O25" s="3"/>
      <c r="P25" s="3"/>
      <c r="Q25" s="3"/>
    </row>
    <row r="26">
      <c r="A26" s="15" t="s">
        <v>8</v>
      </c>
      <c r="B26" s="13"/>
      <c r="C26" s="13" t="s">
        <v>35</v>
      </c>
      <c r="D26" s="14" t="s">
        <v>36</v>
      </c>
      <c r="E26" s="12" t="s">
        <v>15</v>
      </c>
      <c r="F26" s="12">
        <v>1.0</v>
      </c>
      <c r="G26" s="12">
        <v>35.0</v>
      </c>
      <c r="H26" s="15">
        <f>PRODUCT(F26:G26)</f>
        <v>35</v>
      </c>
      <c r="I26" s="16" t="s">
        <v>12</v>
      </c>
      <c r="J26" s="13"/>
      <c r="K26" s="18"/>
      <c r="L26" s="3"/>
      <c r="M26" s="3"/>
      <c r="N26" s="3"/>
      <c r="O26" s="3"/>
      <c r="P26" s="3"/>
      <c r="Q26" s="3"/>
    </row>
    <row r="27">
      <c r="A27" s="12" t="s">
        <v>8</v>
      </c>
      <c r="B27" s="13"/>
      <c r="C27" s="19" t="s">
        <v>17</v>
      </c>
      <c r="D27" s="14" t="s">
        <v>36</v>
      </c>
      <c r="E27" s="12" t="s">
        <v>15</v>
      </c>
      <c r="F27" s="20">
        <v>3.0</v>
      </c>
      <c r="G27" s="12"/>
      <c r="H27" s="15"/>
      <c r="I27" s="16" t="s">
        <v>12</v>
      </c>
      <c r="J27" s="13"/>
      <c r="K27" s="18"/>
      <c r="L27" s="3"/>
      <c r="M27" s="3"/>
      <c r="N27" s="3"/>
      <c r="O27" s="3"/>
      <c r="P27" s="3"/>
      <c r="Q27" s="3"/>
    </row>
    <row r="28">
      <c r="A28" s="12" t="s">
        <v>8</v>
      </c>
      <c r="B28" s="13"/>
      <c r="C28" s="13" t="s">
        <v>37</v>
      </c>
      <c r="D28" s="14" t="s">
        <v>36</v>
      </c>
      <c r="E28" s="12" t="s">
        <v>15</v>
      </c>
      <c r="F28" s="12">
        <v>6.0</v>
      </c>
      <c r="G28" s="12"/>
      <c r="H28" s="15"/>
      <c r="I28" s="16" t="s">
        <v>12</v>
      </c>
      <c r="J28" s="13"/>
      <c r="K28" s="18"/>
      <c r="L28" s="3"/>
      <c r="M28" s="3"/>
      <c r="N28" s="3"/>
      <c r="O28" s="3"/>
      <c r="P28" s="3"/>
      <c r="Q28" s="3"/>
    </row>
    <row r="29">
      <c r="A29" s="12" t="s">
        <v>8</v>
      </c>
      <c r="B29" s="13"/>
      <c r="C29" s="13" t="s">
        <v>38</v>
      </c>
      <c r="D29" s="14" t="s">
        <v>36</v>
      </c>
      <c r="E29" s="12" t="s">
        <v>15</v>
      </c>
      <c r="F29" s="12">
        <v>3.0</v>
      </c>
      <c r="G29" s="12"/>
      <c r="H29" s="15"/>
      <c r="I29" s="16" t="s">
        <v>12</v>
      </c>
      <c r="J29" s="13"/>
      <c r="K29" s="18"/>
      <c r="L29" s="3"/>
      <c r="M29" s="3"/>
      <c r="N29" s="3"/>
      <c r="O29" s="3"/>
      <c r="P29" s="3"/>
      <c r="Q29" s="3"/>
    </row>
    <row r="30">
      <c r="A30" s="12" t="s">
        <v>8</v>
      </c>
      <c r="B30" s="13"/>
      <c r="C30" s="13" t="s">
        <v>39</v>
      </c>
      <c r="D30" s="14" t="s">
        <v>36</v>
      </c>
      <c r="E30" s="12" t="s">
        <v>15</v>
      </c>
      <c r="F30" s="12">
        <v>1.0</v>
      </c>
      <c r="G30" s="12"/>
      <c r="H30" s="15"/>
      <c r="I30" s="16" t="s">
        <v>12</v>
      </c>
      <c r="J30" s="13"/>
      <c r="K30" s="18"/>
      <c r="L30" s="3"/>
      <c r="M30" s="3"/>
      <c r="N30" s="3"/>
      <c r="O30" s="3"/>
      <c r="P30" s="3"/>
      <c r="Q30" s="3"/>
    </row>
    <row r="31">
      <c r="A31" s="12" t="s">
        <v>40</v>
      </c>
      <c r="B31" s="13"/>
      <c r="C31" s="13" t="s">
        <v>39</v>
      </c>
      <c r="D31" s="14" t="s">
        <v>36</v>
      </c>
      <c r="E31" s="12" t="s">
        <v>15</v>
      </c>
      <c r="F31" s="12">
        <v>3.0</v>
      </c>
      <c r="G31" s="12"/>
      <c r="H31" s="15"/>
      <c r="I31" s="16" t="s">
        <v>12</v>
      </c>
      <c r="J31" s="13"/>
      <c r="K31" s="18"/>
      <c r="L31" s="3"/>
      <c r="M31" s="3"/>
      <c r="N31" s="3"/>
      <c r="O31" s="3"/>
      <c r="P31" s="3"/>
      <c r="Q31" s="3"/>
    </row>
    <row r="32">
      <c r="A32" s="12" t="s">
        <v>40</v>
      </c>
      <c r="B32" s="13"/>
      <c r="C32" s="13" t="s">
        <v>17</v>
      </c>
      <c r="D32" s="14" t="s">
        <v>36</v>
      </c>
      <c r="E32" s="12" t="s">
        <v>15</v>
      </c>
      <c r="F32" s="12">
        <v>1.0</v>
      </c>
      <c r="G32" s="12"/>
      <c r="H32" s="15"/>
      <c r="I32" s="16"/>
      <c r="J32" s="13"/>
      <c r="K32" s="18"/>
      <c r="L32" s="3"/>
      <c r="M32" s="3"/>
      <c r="N32" s="3"/>
      <c r="O32" s="3"/>
      <c r="P32" s="3"/>
      <c r="Q32" s="3"/>
    </row>
    <row r="33">
      <c r="A33" s="12" t="s">
        <v>40</v>
      </c>
      <c r="B33" s="13"/>
      <c r="C33" s="25" t="s">
        <v>24</v>
      </c>
      <c r="D33" s="14" t="s">
        <v>36</v>
      </c>
      <c r="E33" s="12" t="s">
        <v>15</v>
      </c>
      <c r="F33" s="26">
        <v>0.0</v>
      </c>
      <c r="G33" s="12"/>
      <c r="H33" s="15"/>
      <c r="I33" s="16"/>
      <c r="J33" s="13"/>
      <c r="K33" s="18"/>
      <c r="L33" s="3"/>
      <c r="M33" s="3"/>
      <c r="N33" s="3"/>
      <c r="O33" s="3"/>
      <c r="P33" s="3"/>
      <c r="Q33" s="3"/>
    </row>
    <row r="34">
      <c r="A34" s="12" t="s">
        <v>40</v>
      </c>
      <c r="B34" s="13"/>
      <c r="C34" s="13" t="s">
        <v>38</v>
      </c>
      <c r="D34" s="14" t="s">
        <v>36</v>
      </c>
      <c r="E34" s="12" t="s">
        <v>15</v>
      </c>
      <c r="F34" s="12">
        <v>1.0</v>
      </c>
      <c r="G34" s="12"/>
      <c r="H34" s="15"/>
      <c r="I34" s="16"/>
      <c r="J34" s="13"/>
      <c r="K34" s="18"/>
      <c r="L34" s="3"/>
      <c r="M34" s="3"/>
      <c r="N34" s="3"/>
      <c r="O34" s="3"/>
      <c r="P34" s="3"/>
      <c r="Q34" s="3"/>
    </row>
    <row r="35">
      <c r="A35" s="12" t="s">
        <v>40</v>
      </c>
      <c r="B35" s="13"/>
      <c r="C35" s="13" t="s">
        <v>33</v>
      </c>
      <c r="D35" s="14" t="s">
        <v>36</v>
      </c>
      <c r="E35" s="12" t="s">
        <v>15</v>
      </c>
      <c r="F35" s="12">
        <v>2.0</v>
      </c>
      <c r="G35" s="12"/>
      <c r="H35" s="15"/>
      <c r="I35" s="16"/>
      <c r="J35" s="13"/>
      <c r="K35" s="18"/>
      <c r="L35" s="3"/>
      <c r="M35" s="3"/>
      <c r="N35" s="3"/>
      <c r="O35" s="3"/>
      <c r="P35" s="3"/>
      <c r="Q35" s="3"/>
    </row>
    <row r="36">
      <c r="A36" s="12" t="s">
        <v>13</v>
      </c>
      <c r="B36" s="13"/>
      <c r="C36" s="13" t="s">
        <v>41</v>
      </c>
      <c r="D36" s="14" t="s">
        <v>36</v>
      </c>
      <c r="E36" s="12" t="s">
        <v>15</v>
      </c>
      <c r="F36" s="12">
        <v>1.0</v>
      </c>
      <c r="G36" s="12">
        <v>35.0</v>
      </c>
      <c r="H36" s="15">
        <f t="shared" ref="H36:H37" si="2">PRODUCT(F36:G36)</f>
        <v>35</v>
      </c>
      <c r="I36" s="16" t="s">
        <v>12</v>
      </c>
      <c r="J36" s="13"/>
      <c r="K36" s="18"/>
      <c r="L36" s="3"/>
      <c r="M36" s="3"/>
      <c r="N36" s="3"/>
      <c r="O36" s="3"/>
      <c r="P36" s="3"/>
      <c r="Q36" s="3"/>
    </row>
    <row r="37">
      <c r="A37" s="12" t="s">
        <v>13</v>
      </c>
      <c r="B37" s="13"/>
      <c r="C37" s="13" t="s">
        <v>38</v>
      </c>
      <c r="D37" s="14" t="s">
        <v>36</v>
      </c>
      <c r="E37" s="12" t="s">
        <v>15</v>
      </c>
      <c r="F37" s="12">
        <v>8.0</v>
      </c>
      <c r="G37" s="12">
        <v>35.0</v>
      </c>
      <c r="H37" s="15">
        <f t="shared" si="2"/>
        <v>280</v>
      </c>
      <c r="I37" s="16" t="s">
        <v>12</v>
      </c>
      <c r="J37" s="13"/>
      <c r="K37" s="18"/>
      <c r="L37" s="3"/>
      <c r="M37" s="3"/>
      <c r="N37" s="3"/>
      <c r="O37" s="3"/>
      <c r="P37" s="3"/>
      <c r="Q37" s="3"/>
    </row>
    <row r="38">
      <c r="A38" s="12" t="s">
        <v>13</v>
      </c>
      <c r="B38" s="13"/>
      <c r="C38" s="34" t="s">
        <v>42</v>
      </c>
      <c r="D38" s="14" t="s">
        <v>36</v>
      </c>
      <c r="E38" s="12" t="s">
        <v>15</v>
      </c>
      <c r="F38" s="20">
        <v>3.0</v>
      </c>
      <c r="G38" s="12"/>
      <c r="H38" s="15"/>
      <c r="I38" s="16" t="s">
        <v>12</v>
      </c>
      <c r="J38" s="13"/>
      <c r="K38" s="18"/>
      <c r="L38" s="3"/>
      <c r="M38" s="3"/>
      <c r="N38" s="3"/>
      <c r="O38" s="3"/>
      <c r="P38" s="3"/>
      <c r="Q38" s="3"/>
    </row>
    <row r="39">
      <c r="A39" s="12" t="s">
        <v>13</v>
      </c>
      <c r="B39" s="13"/>
      <c r="C39" s="34" t="s">
        <v>21</v>
      </c>
      <c r="D39" s="14" t="s">
        <v>36</v>
      </c>
      <c r="E39" s="12" t="s">
        <v>15</v>
      </c>
      <c r="F39" s="20">
        <v>1.0</v>
      </c>
      <c r="G39" s="12">
        <v>35.0</v>
      </c>
      <c r="H39" s="15">
        <f t="shared" ref="H39:H41" si="3">PRODUCT(F39:G39)</f>
        <v>35</v>
      </c>
      <c r="I39" s="16" t="s">
        <v>12</v>
      </c>
      <c r="J39" s="13"/>
      <c r="K39" s="18"/>
      <c r="L39" s="3"/>
      <c r="M39" s="3"/>
      <c r="N39" s="3"/>
      <c r="O39" s="3"/>
      <c r="P39" s="3"/>
      <c r="Q39" s="3"/>
    </row>
    <row r="40">
      <c r="A40" s="12" t="s">
        <v>13</v>
      </c>
      <c r="B40" s="13"/>
      <c r="C40" s="35" t="s">
        <v>43</v>
      </c>
      <c r="D40" s="14" t="s">
        <v>36</v>
      </c>
      <c r="E40" s="12" t="s">
        <v>15</v>
      </c>
      <c r="F40" s="12">
        <v>1.0</v>
      </c>
      <c r="G40" s="12">
        <v>35.0</v>
      </c>
      <c r="H40" s="15">
        <f t="shared" si="3"/>
        <v>35</v>
      </c>
      <c r="I40" s="16" t="s">
        <v>12</v>
      </c>
      <c r="J40" s="13"/>
      <c r="K40" s="18"/>
      <c r="L40" s="3"/>
      <c r="M40" s="3"/>
      <c r="N40" s="3"/>
      <c r="O40" s="3"/>
      <c r="P40" s="3"/>
      <c r="Q40" s="3"/>
    </row>
    <row r="41">
      <c r="A41" s="12" t="s">
        <v>13</v>
      </c>
      <c r="B41" s="13"/>
      <c r="C41" s="25" t="s">
        <v>44</v>
      </c>
      <c r="D41" s="14" t="s">
        <v>36</v>
      </c>
      <c r="E41" s="12" t="s">
        <v>15</v>
      </c>
      <c r="F41" s="25">
        <v>0.0</v>
      </c>
      <c r="G41" s="12">
        <v>35.0</v>
      </c>
      <c r="H41" s="15">
        <f t="shared" si="3"/>
        <v>0</v>
      </c>
      <c r="I41" s="16">
        <v>0.0</v>
      </c>
      <c r="J41" s="13"/>
      <c r="K41" s="18"/>
      <c r="L41" s="36"/>
      <c r="M41" s="3"/>
      <c r="N41" s="3"/>
      <c r="O41" s="3"/>
      <c r="P41" s="3"/>
      <c r="Q41" s="3"/>
    </row>
    <row r="42">
      <c r="A42" s="12" t="s">
        <v>13</v>
      </c>
      <c r="B42" s="13"/>
      <c r="C42" s="13" t="s">
        <v>17</v>
      </c>
      <c r="D42" s="14" t="s">
        <v>36</v>
      </c>
      <c r="E42" s="12" t="s">
        <v>15</v>
      </c>
      <c r="F42" s="13">
        <v>5.0</v>
      </c>
      <c r="G42" s="12"/>
      <c r="H42" s="15"/>
      <c r="I42" s="16" t="s">
        <v>12</v>
      </c>
      <c r="J42" s="13"/>
      <c r="K42" s="18"/>
      <c r="L42" s="3"/>
      <c r="M42" s="3"/>
      <c r="N42" s="3"/>
      <c r="O42" s="3"/>
      <c r="P42" s="3"/>
      <c r="Q42" s="3"/>
    </row>
    <row r="43">
      <c r="A43" s="12" t="s">
        <v>19</v>
      </c>
      <c r="B43" s="13"/>
      <c r="C43" s="13" t="s">
        <v>45</v>
      </c>
      <c r="D43" s="14" t="s">
        <v>36</v>
      </c>
      <c r="E43" s="12" t="s">
        <v>15</v>
      </c>
      <c r="F43" s="37">
        <v>2.0</v>
      </c>
      <c r="G43" s="22"/>
      <c r="H43" s="23"/>
      <c r="I43" s="24">
        <v>1.0</v>
      </c>
      <c r="J43" s="13"/>
      <c r="K43" s="18"/>
      <c r="L43" s="3"/>
      <c r="M43" s="3"/>
      <c r="N43" s="3"/>
      <c r="O43" s="3"/>
      <c r="P43" s="3"/>
      <c r="Q43" s="3"/>
    </row>
    <row r="44">
      <c r="A44" s="12" t="s">
        <v>19</v>
      </c>
      <c r="B44" s="13"/>
      <c r="C44" s="13" t="s">
        <v>14</v>
      </c>
      <c r="D44" s="14" t="s">
        <v>36</v>
      </c>
      <c r="E44" s="12" t="s">
        <v>15</v>
      </c>
      <c r="F44" s="13">
        <v>3.0</v>
      </c>
      <c r="G44" s="12"/>
      <c r="H44" s="15"/>
      <c r="I44" s="16" t="s">
        <v>12</v>
      </c>
      <c r="J44" s="13"/>
      <c r="K44" s="18"/>
      <c r="L44" s="3"/>
      <c r="M44" s="3"/>
      <c r="N44" s="3"/>
      <c r="O44" s="3"/>
      <c r="P44" s="3"/>
      <c r="Q44" s="3"/>
    </row>
    <row r="45">
      <c r="A45" s="12" t="s">
        <v>19</v>
      </c>
      <c r="B45" s="13"/>
      <c r="C45" s="13" t="s">
        <v>46</v>
      </c>
      <c r="D45" s="14" t="s">
        <v>36</v>
      </c>
      <c r="E45" s="12" t="s">
        <v>15</v>
      </c>
      <c r="F45" s="13">
        <v>4.0</v>
      </c>
      <c r="G45" s="12"/>
      <c r="H45" s="15"/>
      <c r="I45" s="16" t="s">
        <v>12</v>
      </c>
      <c r="J45" s="13"/>
      <c r="K45" s="18"/>
      <c r="L45" s="3"/>
      <c r="M45" s="3"/>
      <c r="N45" s="3"/>
      <c r="O45" s="3"/>
      <c r="P45" s="3"/>
      <c r="Q45" s="3"/>
    </row>
    <row r="46">
      <c r="A46" s="12" t="s">
        <v>19</v>
      </c>
      <c r="B46" s="13"/>
      <c r="C46" s="13" t="s">
        <v>47</v>
      </c>
      <c r="D46" s="14" t="s">
        <v>36</v>
      </c>
      <c r="E46" s="12" t="s">
        <v>48</v>
      </c>
      <c r="F46" s="13">
        <v>3.0</v>
      </c>
      <c r="G46" s="12"/>
      <c r="H46" s="15"/>
      <c r="I46" s="16" t="s">
        <v>12</v>
      </c>
      <c r="J46" s="13"/>
      <c r="K46" s="18"/>
      <c r="L46" s="3"/>
      <c r="M46" s="3"/>
      <c r="N46" s="3"/>
      <c r="O46" s="3"/>
      <c r="P46" s="3"/>
      <c r="Q46" s="3"/>
    </row>
    <row r="47">
      <c r="A47" s="12" t="s">
        <v>19</v>
      </c>
      <c r="B47" s="13"/>
      <c r="C47" s="25" t="s">
        <v>49</v>
      </c>
      <c r="D47" s="14" t="s">
        <v>36</v>
      </c>
      <c r="E47" s="12" t="s">
        <v>15</v>
      </c>
      <c r="F47" s="25">
        <v>0.0</v>
      </c>
      <c r="G47" s="12"/>
      <c r="H47" s="15"/>
      <c r="I47" s="16" t="s">
        <v>12</v>
      </c>
      <c r="J47" s="13"/>
      <c r="K47" s="18"/>
      <c r="L47" s="3"/>
      <c r="M47" s="3"/>
      <c r="N47" s="3"/>
      <c r="O47" s="3"/>
      <c r="P47" s="3"/>
      <c r="Q47" s="3"/>
    </row>
    <row r="48">
      <c r="A48" s="12" t="s">
        <v>19</v>
      </c>
      <c r="B48" s="13"/>
      <c r="C48" s="13" t="s">
        <v>38</v>
      </c>
      <c r="D48" s="14" t="s">
        <v>36</v>
      </c>
      <c r="E48" s="12" t="s">
        <v>15</v>
      </c>
      <c r="F48" s="13">
        <v>1.0</v>
      </c>
      <c r="G48" s="12"/>
      <c r="H48" s="15"/>
      <c r="I48" s="16" t="s">
        <v>12</v>
      </c>
      <c r="J48" s="13"/>
      <c r="K48" s="18"/>
      <c r="L48" s="3"/>
      <c r="M48" s="3"/>
      <c r="N48" s="3"/>
      <c r="O48" s="3"/>
      <c r="P48" s="3"/>
      <c r="Q48" s="3"/>
    </row>
    <row r="49">
      <c r="A49" s="12" t="s">
        <v>19</v>
      </c>
      <c r="B49" s="13"/>
      <c r="C49" s="25" t="s">
        <v>41</v>
      </c>
      <c r="D49" s="14" t="s">
        <v>36</v>
      </c>
      <c r="E49" s="12" t="s">
        <v>11</v>
      </c>
      <c r="F49" s="25">
        <v>0.0</v>
      </c>
      <c r="G49" s="12"/>
      <c r="H49" s="15"/>
      <c r="I49" s="16" t="s">
        <v>12</v>
      </c>
      <c r="J49" s="13"/>
      <c r="K49" s="18"/>
      <c r="L49" s="3"/>
      <c r="M49" s="3"/>
      <c r="N49" s="3"/>
      <c r="O49" s="3"/>
      <c r="P49" s="3"/>
      <c r="Q49" s="3"/>
    </row>
    <row r="50">
      <c r="A50" s="12" t="s">
        <v>19</v>
      </c>
      <c r="B50" s="13"/>
      <c r="C50" s="13" t="s">
        <v>24</v>
      </c>
      <c r="D50" s="14" t="s">
        <v>36</v>
      </c>
      <c r="E50" s="12" t="s">
        <v>15</v>
      </c>
      <c r="F50" s="13">
        <v>2.0</v>
      </c>
      <c r="G50" s="12"/>
      <c r="H50" s="15"/>
      <c r="I50" s="16" t="s">
        <v>12</v>
      </c>
      <c r="J50" s="13"/>
      <c r="K50" s="18"/>
      <c r="L50" s="3"/>
      <c r="M50" s="3"/>
      <c r="N50" s="3"/>
      <c r="O50" s="3"/>
      <c r="P50" s="3"/>
      <c r="Q50" s="3"/>
    </row>
    <row r="51">
      <c r="A51" s="12" t="s">
        <v>19</v>
      </c>
      <c r="B51" s="13"/>
      <c r="C51" s="13" t="s">
        <v>50</v>
      </c>
      <c r="D51" s="14" t="s">
        <v>36</v>
      </c>
      <c r="E51" s="12" t="s">
        <v>15</v>
      </c>
      <c r="F51" s="13">
        <v>3.0</v>
      </c>
      <c r="G51" s="12">
        <v>48.0</v>
      </c>
      <c r="H51" s="15">
        <f>PRODUCT(F51:G51)</f>
        <v>144</v>
      </c>
      <c r="I51" s="16" t="s">
        <v>12</v>
      </c>
      <c r="J51" s="13"/>
      <c r="K51" s="18"/>
      <c r="L51" s="3"/>
      <c r="M51" s="3"/>
      <c r="N51" s="3"/>
      <c r="O51" s="3"/>
      <c r="P51" s="3"/>
      <c r="Q51" s="3"/>
    </row>
    <row r="52">
      <c r="A52" s="12" t="s">
        <v>19</v>
      </c>
      <c r="B52" s="13"/>
      <c r="C52" s="13" t="s">
        <v>17</v>
      </c>
      <c r="D52" s="14" t="s">
        <v>36</v>
      </c>
      <c r="E52" s="12" t="s">
        <v>15</v>
      </c>
      <c r="F52" s="13">
        <v>3.0</v>
      </c>
      <c r="G52" s="12"/>
      <c r="H52" s="15"/>
      <c r="I52" s="16" t="s">
        <v>12</v>
      </c>
      <c r="J52" s="13"/>
      <c r="K52" s="18"/>
      <c r="L52" s="3"/>
      <c r="M52" s="3"/>
      <c r="N52" s="3"/>
      <c r="O52" s="3"/>
      <c r="P52" s="3"/>
      <c r="Q52" s="3"/>
    </row>
    <row r="53">
      <c r="A53" s="12" t="s">
        <v>19</v>
      </c>
      <c r="B53" s="13"/>
      <c r="C53" s="13" t="s">
        <v>30</v>
      </c>
      <c r="D53" s="14" t="s">
        <v>36</v>
      </c>
      <c r="E53" s="12" t="s">
        <v>15</v>
      </c>
      <c r="F53" s="13">
        <v>3.0</v>
      </c>
      <c r="G53" s="12"/>
      <c r="H53" s="15"/>
      <c r="I53" s="16" t="s">
        <v>12</v>
      </c>
      <c r="J53" s="13"/>
      <c r="K53" s="18"/>
      <c r="L53" s="3"/>
      <c r="M53" s="3"/>
      <c r="N53" s="3"/>
      <c r="O53" s="3"/>
      <c r="P53" s="3"/>
      <c r="Q53" s="3"/>
    </row>
    <row r="54">
      <c r="A54" s="12" t="s">
        <v>19</v>
      </c>
      <c r="B54" s="13"/>
      <c r="C54" s="13" t="s">
        <v>30</v>
      </c>
      <c r="D54" s="14" t="s">
        <v>36</v>
      </c>
      <c r="E54" s="12" t="s">
        <v>48</v>
      </c>
      <c r="F54" s="13">
        <v>4.0</v>
      </c>
      <c r="G54" s="12"/>
      <c r="H54" s="15"/>
      <c r="I54" s="16" t="s">
        <v>12</v>
      </c>
      <c r="J54" s="13"/>
      <c r="K54" s="18"/>
      <c r="L54" s="3"/>
      <c r="M54" s="3"/>
      <c r="N54" s="3"/>
      <c r="O54" s="3"/>
      <c r="P54" s="3"/>
      <c r="Q54" s="3"/>
    </row>
    <row r="55">
      <c r="A55" s="12" t="s">
        <v>19</v>
      </c>
      <c r="C55" s="13" t="s">
        <v>9</v>
      </c>
      <c r="D55" s="14" t="s">
        <v>36</v>
      </c>
      <c r="E55" s="12" t="s">
        <v>15</v>
      </c>
      <c r="F55" s="13">
        <v>6.0</v>
      </c>
      <c r="G55" s="12">
        <v>48.0</v>
      </c>
      <c r="H55" s="15">
        <f>PRODUCT(F55:G55)</f>
        <v>288</v>
      </c>
      <c r="I55" s="16" t="s">
        <v>12</v>
      </c>
      <c r="J55" s="13"/>
      <c r="K55" s="18"/>
      <c r="L55" s="3"/>
      <c r="M55" s="3"/>
      <c r="N55" s="3"/>
      <c r="O55" s="3"/>
      <c r="P55" s="3"/>
      <c r="Q55" s="3"/>
    </row>
    <row r="56">
      <c r="A56" s="12" t="s">
        <v>19</v>
      </c>
      <c r="B56" s="13"/>
      <c r="C56" s="13" t="s">
        <v>51</v>
      </c>
      <c r="D56" s="14" t="s">
        <v>36</v>
      </c>
      <c r="E56" s="12" t="s">
        <v>15</v>
      </c>
      <c r="F56" s="38">
        <v>0.0</v>
      </c>
      <c r="G56" s="12"/>
      <c r="H56" s="15"/>
      <c r="I56" s="16">
        <v>0.0</v>
      </c>
      <c r="J56" s="13"/>
      <c r="K56" s="18"/>
      <c r="L56" s="3"/>
      <c r="M56" s="3"/>
      <c r="N56" s="3"/>
      <c r="O56" s="3"/>
      <c r="P56" s="3"/>
      <c r="Q56" s="3"/>
    </row>
    <row r="57">
      <c r="A57" s="12" t="s">
        <v>19</v>
      </c>
      <c r="B57" s="13"/>
      <c r="C57" s="13" t="s">
        <v>52</v>
      </c>
      <c r="D57" s="14" t="s">
        <v>36</v>
      </c>
      <c r="E57" s="12" t="s">
        <v>11</v>
      </c>
      <c r="F57" s="13">
        <v>2.0</v>
      </c>
      <c r="G57" s="12">
        <v>48.0</v>
      </c>
      <c r="H57" s="15">
        <f t="shared" ref="H57:H59" si="4">PRODUCT(F57:G57)</f>
        <v>96</v>
      </c>
      <c r="I57" s="16" t="s">
        <v>12</v>
      </c>
      <c r="J57" s="13"/>
      <c r="K57" s="18"/>
      <c r="L57" s="3"/>
      <c r="M57" s="3"/>
      <c r="N57" s="3"/>
      <c r="O57" s="3"/>
      <c r="P57" s="3"/>
      <c r="Q57" s="3"/>
    </row>
    <row r="58">
      <c r="A58" s="12" t="s">
        <v>19</v>
      </c>
      <c r="B58" s="13"/>
      <c r="C58" s="13" t="s">
        <v>53</v>
      </c>
      <c r="D58" s="14" t="s">
        <v>36</v>
      </c>
      <c r="E58" s="12" t="s">
        <v>11</v>
      </c>
      <c r="F58" s="13">
        <v>2.0</v>
      </c>
      <c r="G58" s="12">
        <v>48.0</v>
      </c>
      <c r="H58" s="15">
        <f t="shared" si="4"/>
        <v>96</v>
      </c>
      <c r="I58" s="16" t="s">
        <v>12</v>
      </c>
      <c r="J58" s="13"/>
      <c r="K58" s="18"/>
      <c r="L58" s="3"/>
      <c r="M58" s="3"/>
      <c r="N58" s="3"/>
      <c r="O58" s="3"/>
      <c r="P58" s="3"/>
      <c r="Q58" s="3"/>
    </row>
    <row r="59">
      <c r="A59" s="12" t="s">
        <v>31</v>
      </c>
      <c r="B59" s="39"/>
      <c r="C59" s="19" t="s">
        <v>18</v>
      </c>
      <c r="D59" s="14" t="s">
        <v>36</v>
      </c>
      <c r="E59" s="12" t="s">
        <v>15</v>
      </c>
      <c r="F59" s="19">
        <v>1.0</v>
      </c>
      <c r="G59" s="19">
        <v>120.0</v>
      </c>
      <c r="H59" s="15">
        <f t="shared" si="4"/>
        <v>120</v>
      </c>
      <c r="I59" s="16" t="s">
        <v>12</v>
      </c>
      <c r="J59" s="13"/>
      <c r="K59" s="18"/>
      <c r="L59" s="3"/>
      <c r="M59" s="3"/>
      <c r="N59" s="3"/>
      <c r="O59" s="3"/>
      <c r="P59" s="3"/>
      <c r="Q59" s="3"/>
    </row>
    <row r="60">
      <c r="A60" s="12" t="s">
        <v>54</v>
      </c>
      <c r="B60" s="9"/>
      <c r="C60" s="19" t="s">
        <v>55</v>
      </c>
      <c r="D60" s="14" t="s">
        <v>36</v>
      </c>
      <c r="E60" s="12" t="s">
        <v>48</v>
      </c>
      <c r="F60" s="19">
        <v>1.0</v>
      </c>
      <c r="G60" s="19"/>
      <c r="H60" s="12"/>
      <c r="I60" s="16" t="s">
        <v>12</v>
      </c>
      <c r="J60" s="19"/>
      <c r="K60" s="18"/>
      <c r="L60" s="3"/>
      <c r="M60" s="3"/>
      <c r="N60" s="3"/>
      <c r="O60" s="3"/>
      <c r="P60" s="3"/>
      <c r="Q60" s="3"/>
    </row>
    <row r="61">
      <c r="A61" s="12" t="s">
        <v>54</v>
      </c>
      <c r="B61" s="9"/>
      <c r="C61" s="19" t="s">
        <v>37</v>
      </c>
      <c r="D61" s="14" t="s">
        <v>36</v>
      </c>
      <c r="E61" s="12" t="s">
        <v>15</v>
      </c>
      <c r="F61" s="19">
        <v>2.0</v>
      </c>
      <c r="G61" s="19">
        <v>0.0</v>
      </c>
      <c r="H61" s="12">
        <v>0.0</v>
      </c>
      <c r="I61" s="16" t="s">
        <v>12</v>
      </c>
      <c r="J61" s="19"/>
      <c r="K61" s="18"/>
      <c r="L61" s="3"/>
      <c r="M61" s="3"/>
      <c r="N61" s="3"/>
      <c r="O61" s="3"/>
      <c r="P61" s="3"/>
      <c r="Q61" s="3"/>
    </row>
    <row r="62">
      <c r="A62" s="12" t="s">
        <v>54</v>
      </c>
      <c r="B62" s="39"/>
      <c r="C62" s="19" t="s">
        <v>56</v>
      </c>
      <c r="D62" s="14" t="s">
        <v>36</v>
      </c>
      <c r="E62" s="12" t="s">
        <v>48</v>
      </c>
      <c r="F62" s="19">
        <v>2.0</v>
      </c>
      <c r="G62" s="39"/>
      <c r="H62" s="15"/>
      <c r="I62" s="16" t="s">
        <v>12</v>
      </c>
      <c r="J62" s="13"/>
      <c r="K62" s="18"/>
      <c r="L62" s="3"/>
      <c r="M62" s="3"/>
      <c r="N62" s="3"/>
      <c r="O62" s="3"/>
      <c r="P62" s="3"/>
      <c r="Q62" s="3"/>
    </row>
    <row r="63">
      <c r="A63" s="12" t="s">
        <v>57</v>
      </c>
      <c r="C63" s="25" t="s">
        <v>17</v>
      </c>
      <c r="D63" s="14" t="s">
        <v>36</v>
      </c>
      <c r="E63" s="12" t="s">
        <v>15</v>
      </c>
      <c r="F63" s="25">
        <v>0.0</v>
      </c>
      <c r="G63" s="39"/>
      <c r="H63" s="15"/>
      <c r="I63" s="40" t="s">
        <v>12</v>
      </c>
      <c r="J63" s="29"/>
      <c r="K63" s="3"/>
      <c r="L63" s="3"/>
      <c r="M63" s="3"/>
      <c r="N63" s="3"/>
      <c r="O63" s="3"/>
      <c r="P63" s="3"/>
      <c r="Q63" s="3"/>
    </row>
    <row r="64">
      <c r="A64" s="12" t="s">
        <v>31</v>
      </c>
      <c r="C64" s="19" t="s">
        <v>17</v>
      </c>
      <c r="D64" s="14" t="s">
        <v>36</v>
      </c>
      <c r="E64" s="12" t="s">
        <v>48</v>
      </c>
      <c r="F64" s="19">
        <v>1.0</v>
      </c>
      <c r="G64" s="39"/>
      <c r="H64" s="15"/>
      <c r="I64" s="33"/>
      <c r="J64" s="29"/>
      <c r="K64" s="3"/>
      <c r="L64" s="3"/>
      <c r="M64" s="3"/>
      <c r="N64" s="3"/>
      <c r="O64" s="3"/>
      <c r="P64" s="3"/>
      <c r="Q64" s="3"/>
    </row>
    <row r="65">
      <c r="A65" s="39"/>
      <c r="C65" s="9"/>
      <c r="D65" s="39"/>
      <c r="E65" s="39"/>
      <c r="F65" s="39"/>
      <c r="G65" s="39"/>
      <c r="H65" s="15">
        <f>SUM(H26:H58)</f>
        <v>1044</v>
      </c>
      <c r="I65" s="33"/>
      <c r="J65" s="29"/>
      <c r="K65" s="3"/>
      <c r="L65" s="3"/>
      <c r="M65" s="3"/>
      <c r="N65" s="3"/>
      <c r="O65" s="3"/>
      <c r="P65" s="3"/>
      <c r="Q65" s="3"/>
    </row>
    <row r="66">
      <c r="A66" s="39"/>
      <c r="B66" s="39"/>
      <c r="C66" s="9"/>
      <c r="D66" s="39"/>
      <c r="E66" s="41" t="s">
        <v>58</v>
      </c>
      <c r="G66" s="39"/>
      <c r="H66" s="39"/>
      <c r="I66" s="33"/>
      <c r="J66" s="10"/>
      <c r="K66" s="3"/>
      <c r="L66" s="3"/>
      <c r="M66" s="3"/>
      <c r="N66" s="3"/>
      <c r="O66" s="3"/>
      <c r="P66" s="3"/>
      <c r="Q66" s="3"/>
    </row>
    <row r="67">
      <c r="A67" s="39"/>
      <c r="B67" s="39"/>
      <c r="C67" s="9"/>
      <c r="D67" s="39"/>
      <c r="E67" s="39"/>
      <c r="F67" s="39"/>
      <c r="G67" s="39"/>
      <c r="H67" s="39"/>
      <c r="I67" s="33"/>
      <c r="J67" s="10"/>
      <c r="K67" s="3"/>
      <c r="L67" s="3"/>
      <c r="M67" s="3"/>
      <c r="N67" s="3"/>
      <c r="O67" s="3"/>
      <c r="P67" s="3"/>
      <c r="Q67" s="3"/>
    </row>
    <row r="68">
      <c r="A68" s="8" t="s">
        <v>1</v>
      </c>
      <c r="B68" s="8"/>
      <c r="C68" s="8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8" t="s">
        <v>7</v>
      </c>
      <c r="I68" s="33"/>
      <c r="J68" s="10"/>
      <c r="K68" s="3"/>
      <c r="L68" s="3"/>
      <c r="M68" s="3"/>
      <c r="N68" s="3"/>
      <c r="O68" s="3"/>
      <c r="P68" s="3"/>
      <c r="Q68" s="3"/>
    </row>
    <row r="69">
      <c r="A69" s="12" t="s">
        <v>8</v>
      </c>
      <c r="B69" s="13"/>
      <c r="C69" s="13" t="s">
        <v>17</v>
      </c>
      <c r="D69" s="14" t="s">
        <v>59</v>
      </c>
      <c r="E69" s="12" t="s">
        <v>15</v>
      </c>
      <c r="F69" s="13">
        <v>2.0</v>
      </c>
      <c r="G69" s="12"/>
      <c r="H69" s="15"/>
      <c r="I69" s="28" t="s">
        <v>12</v>
      </c>
      <c r="J69" s="17"/>
      <c r="K69" s="18"/>
      <c r="L69" s="3"/>
      <c r="M69" s="3"/>
      <c r="N69" s="3"/>
      <c r="O69" s="3"/>
      <c r="P69" s="3"/>
      <c r="Q69" s="3"/>
    </row>
    <row r="70">
      <c r="A70" s="12" t="s">
        <v>8</v>
      </c>
      <c r="B70" s="13"/>
      <c r="C70" s="25" t="s">
        <v>38</v>
      </c>
      <c r="D70" s="14" t="s">
        <v>59</v>
      </c>
      <c r="E70" s="12" t="s">
        <v>15</v>
      </c>
      <c r="F70" s="25">
        <v>0.0</v>
      </c>
      <c r="G70" s="12"/>
      <c r="H70" s="15"/>
      <c r="I70" s="28" t="s">
        <v>12</v>
      </c>
      <c r="J70" s="17"/>
      <c r="K70" s="18"/>
      <c r="L70" s="3"/>
      <c r="M70" s="3"/>
      <c r="N70" s="3"/>
      <c r="O70" s="3"/>
      <c r="P70" s="3"/>
      <c r="Q70" s="3"/>
    </row>
    <row r="71">
      <c r="A71" s="12" t="s">
        <v>40</v>
      </c>
      <c r="B71" s="13"/>
      <c r="C71" s="13" t="s">
        <v>39</v>
      </c>
      <c r="D71" s="14" t="s">
        <v>59</v>
      </c>
      <c r="E71" s="12" t="s">
        <v>15</v>
      </c>
      <c r="F71" s="13">
        <v>1.0</v>
      </c>
      <c r="G71" s="12"/>
      <c r="H71" s="15"/>
      <c r="I71" s="28" t="s">
        <v>12</v>
      </c>
      <c r="J71" s="17"/>
      <c r="K71" s="18"/>
      <c r="L71" s="3"/>
      <c r="M71" s="3"/>
      <c r="N71" s="3"/>
      <c r="O71" s="3"/>
      <c r="P71" s="3"/>
      <c r="Q71" s="3"/>
    </row>
    <row r="72">
      <c r="A72" s="12" t="s">
        <v>40</v>
      </c>
      <c r="B72" s="13"/>
      <c r="C72" s="13" t="s">
        <v>21</v>
      </c>
      <c r="D72" s="14" t="s">
        <v>59</v>
      </c>
      <c r="E72" s="12" t="s">
        <v>15</v>
      </c>
      <c r="F72" s="13">
        <v>1.0</v>
      </c>
      <c r="G72" s="12"/>
      <c r="H72" s="15"/>
      <c r="I72" s="28"/>
      <c r="J72" s="17"/>
      <c r="K72" s="18"/>
      <c r="L72" s="3"/>
      <c r="M72" s="3"/>
      <c r="N72" s="3"/>
      <c r="O72" s="3"/>
      <c r="P72" s="3"/>
      <c r="Q72" s="3"/>
    </row>
    <row r="73">
      <c r="A73" s="12" t="s">
        <v>40</v>
      </c>
      <c r="B73" s="13"/>
      <c r="C73" s="13" t="s">
        <v>38</v>
      </c>
      <c r="D73" s="14" t="s">
        <v>59</v>
      </c>
      <c r="E73" s="12" t="s">
        <v>15</v>
      </c>
      <c r="F73" s="13">
        <v>1.0</v>
      </c>
      <c r="G73" s="12"/>
      <c r="H73" s="15"/>
      <c r="I73" s="28"/>
      <c r="J73" s="17"/>
      <c r="K73" s="18"/>
      <c r="L73" s="3"/>
      <c r="M73" s="3"/>
      <c r="N73" s="3"/>
      <c r="O73" s="3"/>
      <c r="P73" s="3"/>
      <c r="Q73" s="3"/>
    </row>
    <row r="74">
      <c r="A74" s="12" t="s">
        <v>40</v>
      </c>
      <c r="B74" s="13"/>
      <c r="C74" s="13" t="s">
        <v>60</v>
      </c>
      <c r="D74" s="14" t="s">
        <v>59</v>
      </c>
      <c r="E74" s="12" t="s">
        <v>15</v>
      </c>
      <c r="F74" s="13">
        <v>3.0</v>
      </c>
      <c r="G74" s="12"/>
      <c r="H74" s="15"/>
      <c r="I74" s="28">
        <v>2.0</v>
      </c>
      <c r="J74" s="17"/>
      <c r="K74" s="18"/>
      <c r="L74" s="3"/>
      <c r="M74" s="3"/>
      <c r="N74" s="3"/>
      <c r="O74" s="3"/>
      <c r="P74" s="3"/>
      <c r="Q74" s="3"/>
    </row>
    <row r="75">
      <c r="A75" s="12" t="s">
        <v>61</v>
      </c>
      <c r="B75" s="13"/>
      <c r="C75" s="13" t="s">
        <v>62</v>
      </c>
      <c r="D75" s="14" t="s">
        <v>59</v>
      </c>
      <c r="E75" s="12" t="s">
        <v>15</v>
      </c>
      <c r="F75" s="13">
        <v>1.0</v>
      </c>
      <c r="G75" s="12">
        <v>45.0</v>
      </c>
      <c r="H75" s="15">
        <f t="shared" ref="H75:H79" si="5">PRODUCT(F75:G75)</f>
        <v>45</v>
      </c>
      <c r="I75" s="28">
        <v>1.0</v>
      </c>
      <c r="J75" s="17"/>
      <c r="K75" s="18"/>
      <c r="L75" s="3"/>
      <c r="M75" s="3"/>
      <c r="N75" s="3"/>
      <c r="O75" s="3"/>
      <c r="P75" s="3"/>
      <c r="Q75" s="3"/>
    </row>
    <row r="76">
      <c r="A76" s="12" t="s">
        <v>13</v>
      </c>
      <c r="B76" s="13"/>
      <c r="C76" s="19" t="s">
        <v>63</v>
      </c>
      <c r="D76" s="14" t="s">
        <v>59</v>
      </c>
      <c r="E76" s="12" t="s">
        <v>15</v>
      </c>
      <c r="F76" s="19">
        <v>3.0</v>
      </c>
      <c r="G76" s="12">
        <v>35.0</v>
      </c>
      <c r="H76" s="15">
        <f t="shared" si="5"/>
        <v>105</v>
      </c>
      <c r="I76" s="28" t="s">
        <v>12</v>
      </c>
      <c r="J76" s="17"/>
      <c r="K76" s="18"/>
      <c r="L76" s="3"/>
      <c r="M76" s="3"/>
      <c r="N76" s="3"/>
      <c r="O76" s="3"/>
      <c r="P76" s="3"/>
      <c r="Q76" s="3"/>
    </row>
    <row r="77">
      <c r="A77" s="12" t="s">
        <v>13</v>
      </c>
      <c r="B77" s="13"/>
      <c r="C77" s="13" t="s">
        <v>47</v>
      </c>
      <c r="D77" s="14" t="s">
        <v>59</v>
      </c>
      <c r="E77" s="12" t="s">
        <v>15</v>
      </c>
      <c r="F77" s="13">
        <v>7.0</v>
      </c>
      <c r="G77" s="12">
        <v>35.0</v>
      </c>
      <c r="H77" s="15">
        <f t="shared" si="5"/>
        <v>245</v>
      </c>
      <c r="I77" s="28" t="s">
        <v>12</v>
      </c>
      <c r="J77" s="17"/>
      <c r="K77" s="18"/>
      <c r="L77" s="3"/>
      <c r="M77" s="3"/>
      <c r="N77" s="3"/>
      <c r="O77" s="3"/>
      <c r="P77" s="3"/>
      <c r="Q77" s="3"/>
    </row>
    <row r="78">
      <c r="A78" s="12" t="s">
        <v>13</v>
      </c>
      <c r="B78" s="13"/>
      <c r="C78" s="19" t="s">
        <v>64</v>
      </c>
      <c r="D78" s="14" t="s">
        <v>59</v>
      </c>
      <c r="E78" s="12" t="s">
        <v>15</v>
      </c>
      <c r="F78" s="19">
        <v>3.0</v>
      </c>
      <c r="G78" s="12">
        <v>35.0</v>
      </c>
      <c r="H78" s="15">
        <f t="shared" si="5"/>
        <v>105</v>
      </c>
      <c r="I78" s="28" t="s">
        <v>12</v>
      </c>
      <c r="J78" s="17"/>
      <c r="K78" s="18"/>
      <c r="L78" s="3"/>
      <c r="M78" s="3"/>
      <c r="N78" s="3"/>
      <c r="O78" s="3"/>
      <c r="P78" s="3"/>
      <c r="Q78" s="3"/>
    </row>
    <row r="79">
      <c r="A79" s="12" t="s">
        <v>13</v>
      </c>
      <c r="B79" s="13"/>
      <c r="C79" s="19" t="s">
        <v>65</v>
      </c>
      <c r="D79" s="14" t="s">
        <v>59</v>
      </c>
      <c r="E79" s="12" t="s">
        <v>15</v>
      </c>
      <c r="F79" s="19">
        <v>1.0</v>
      </c>
      <c r="G79" s="12">
        <v>35.0</v>
      </c>
      <c r="H79" s="15">
        <f t="shared" si="5"/>
        <v>35</v>
      </c>
      <c r="I79" s="28" t="s">
        <v>12</v>
      </c>
      <c r="J79" s="17"/>
      <c r="K79" s="18"/>
      <c r="L79" s="3"/>
      <c r="M79" s="3"/>
      <c r="N79" s="3"/>
      <c r="O79" s="3"/>
      <c r="P79" s="3"/>
      <c r="Q79" s="3"/>
    </row>
    <row r="80">
      <c r="A80" s="12" t="s">
        <v>13</v>
      </c>
      <c r="B80" s="13"/>
      <c r="C80" s="13" t="s">
        <v>17</v>
      </c>
      <c r="D80" s="14" t="s">
        <v>59</v>
      </c>
      <c r="E80" s="12" t="s">
        <v>15</v>
      </c>
      <c r="F80" s="13">
        <v>4.0</v>
      </c>
      <c r="G80" s="12"/>
      <c r="H80" s="15"/>
      <c r="I80" s="28" t="s">
        <v>12</v>
      </c>
      <c r="J80" s="42"/>
      <c r="K80" s="18"/>
      <c r="L80" s="3"/>
      <c r="M80" s="3"/>
      <c r="N80" s="3"/>
      <c r="O80" s="3"/>
      <c r="P80" s="3"/>
      <c r="Q80" s="3"/>
    </row>
    <row r="81">
      <c r="A81" s="12" t="s">
        <v>13</v>
      </c>
      <c r="B81" s="13"/>
      <c r="C81" s="13" t="s">
        <v>66</v>
      </c>
      <c r="D81" s="14" t="s">
        <v>59</v>
      </c>
      <c r="E81" s="12" t="s">
        <v>15</v>
      </c>
      <c r="F81" s="13">
        <v>4.0</v>
      </c>
      <c r="G81" s="12"/>
      <c r="H81" s="15"/>
      <c r="I81" s="28" t="s">
        <v>12</v>
      </c>
      <c r="J81" s="17"/>
      <c r="K81" s="18"/>
      <c r="L81" s="3"/>
      <c r="M81" s="3"/>
      <c r="N81" s="3"/>
      <c r="O81" s="3"/>
      <c r="P81" s="3"/>
      <c r="Q81" s="3"/>
    </row>
    <row r="82">
      <c r="A82" s="12" t="s">
        <v>13</v>
      </c>
      <c r="B82" s="13"/>
      <c r="C82" s="25" t="s">
        <v>67</v>
      </c>
      <c r="D82" s="14" t="s">
        <v>59</v>
      </c>
      <c r="E82" s="12" t="s">
        <v>15</v>
      </c>
      <c r="F82" s="25">
        <v>0.0</v>
      </c>
      <c r="G82" s="12"/>
      <c r="H82" s="15"/>
      <c r="I82" s="28" t="s">
        <v>12</v>
      </c>
      <c r="J82" s="17"/>
      <c r="K82" s="18"/>
      <c r="L82" s="3"/>
      <c r="M82" s="3"/>
      <c r="N82" s="3"/>
      <c r="O82" s="3"/>
      <c r="P82" s="3"/>
      <c r="Q82" s="3"/>
    </row>
    <row r="83">
      <c r="A83" s="12" t="s">
        <v>13</v>
      </c>
      <c r="B83" s="13"/>
      <c r="C83" s="13" t="s">
        <v>37</v>
      </c>
      <c r="D83" s="14" t="s">
        <v>59</v>
      </c>
      <c r="E83" s="12" t="s">
        <v>15</v>
      </c>
      <c r="F83" s="13">
        <v>2.0</v>
      </c>
      <c r="G83" s="12"/>
      <c r="H83" s="15"/>
      <c r="I83" s="28" t="s">
        <v>12</v>
      </c>
      <c r="J83" s="17"/>
      <c r="K83" s="18"/>
      <c r="L83" s="3"/>
      <c r="M83" s="3"/>
      <c r="N83" s="3"/>
      <c r="O83" s="3"/>
      <c r="P83" s="3"/>
      <c r="Q83" s="3"/>
    </row>
    <row r="84">
      <c r="A84" s="12" t="s">
        <v>19</v>
      </c>
      <c r="B84" s="13"/>
      <c r="C84" s="25" t="s">
        <v>68</v>
      </c>
      <c r="D84" s="14" t="s">
        <v>59</v>
      </c>
      <c r="E84" s="12" t="s">
        <v>15</v>
      </c>
      <c r="F84" s="13">
        <v>0.0</v>
      </c>
      <c r="G84" s="12">
        <v>48.0</v>
      </c>
      <c r="H84" s="15">
        <f>PRODUCT(F84:G84)</f>
        <v>0</v>
      </c>
      <c r="I84" s="28" t="s">
        <v>12</v>
      </c>
      <c r="J84" s="17"/>
      <c r="K84" s="18"/>
      <c r="L84" s="3"/>
      <c r="M84" s="3"/>
      <c r="N84" s="3"/>
      <c r="O84" s="3"/>
      <c r="P84" s="3"/>
      <c r="Q84" s="3"/>
    </row>
    <row r="85">
      <c r="A85" s="12" t="s">
        <v>19</v>
      </c>
      <c r="B85" s="13"/>
      <c r="C85" s="25" t="s">
        <v>69</v>
      </c>
      <c r="D85" s="14" t="s">
        <v>59</v>
      </c>
      <c r="E85" s="12" t="s">
        <v>15</v>
      </c>
      <c r="F85" s="25">
        <v>0.0</v>
      </c>
      <c r="G85" s="12"/>
      <c r="H85" s="15"/>
      <c r="I85" s="28" t="s">
        <v>12</v>
      </c>
      <c r="J85" s="17"/>
      <c r="K85" s="18"/>
      <c r="L85" s="3"/>
      <c r="M85" s="3"/>
      <c r="N85" s="3"/>
      <c r="O85" s="3"/>
      <c r="P85" s="3"/>
      <c r="Q85" s="3"/>
    </row>
    <row r="86">
      <c r="A86" s="12" t="s">
        <v>19</v>
      </c>
      <c r="B86" s="13"/>
      <c r="C86" s="13" t="s">
        <v>30</v>
      </c>
      <c r="D86" s="14" t="s">
        <v>59</v>
      </c>
      <c r="E86" s="12" t="s">
        <v>15</v>
      </c>
      <c r="F86" s="13">
        <v>6.0</v>
      </c>
      <c r="G86" s="12">
        <v>48.0</v>
      </c>
      <c r="H86" s="15">
        <f>PRODUCT(F86:G86)</f>
        <v>288</v>
      </c>
      <c r="I86" s="28" t="s">
        <v>12</v>
      </c>
      <c r="J86" s="17"/>
      <c r="K86" s="18"/>
      <c r="L86" s="3"/>
      <c r="M86" s="3"/>
      <c r="N86" s="3"/>
      <c r="O86" s="3"/>
      <c r="P86" s="3"/>
      <c r="Q86" s="3"/>
    </row>
    <row r="87">
      <c r="A87" s="12" t="s">
        <v>19</v>
      </c>
      <c r="B87" s="13"/>
      <c r="C87" s="19" t="s">
        <v>30</v>
      </c>
      <c r="D87" s="14" t="s">
        <v>59</v>
      </c>
      <c r="E87" s="12" t="s">
        <v>48</v>
      </c>
      <c r="F87" s="19">
        <v>1.0</v>
      </c>
      <c r="G87" s="12"/>
      <c r="H87" s="15"/>
      <c r="I87" s="28" t="s">
        <v>12</v>
      </c>
      <c r="J87" s="17"/>
      <c r="K87" s="18"/>
      <c r="L87" s="3"/>
      <c r="M87" s="3"/>
      <c r="N87" s="3"/>
      <c r="O87" s="3"/>
      <c r="P87" s="3"/>
      <c r="Q87" s="3"/>
    </row>
    <row r="88">
      <c r="A88" s="12" t="s">
        <v>19</v>
      </c>
      <c r="B88" s="13"/>
      <c r="C88" s="25" t="s">
        <v>70</v>
      </c>
      <c r="D88" s="14" t="s">
        <v>59</v>
      </c>
      <c r="E88" s="15" t="s">
        <v>15</v>
      </c>
      <c r="F88" s="25">
        <v>0.0</v>
      </c>
      <c r="G88" s="12">
        <v>48.0</v>
      </c>
      <c r="H88" s="15">
        <f>PRODUCT(F88:G88)</f>
        <v>0</v>
      </c>
      <c r="I88" s="28" t="s">
        <v>12</v>
      </c>
      <c r="J88" s="17"/>
      <c r="K88" s="18"/>
      <c r="L88" s="3"/>
      <c r="M88" s="3"/>
      <c r="N88" s="3"/>
      <c r="O88" s="3"/>
      <c r="P88" s="3"/>
      <c r="Q88" s="3"/>
    </row>
    <row r="89">
      <c r="A89" s="12" t="s">
        <v>19</v>
      </c>
      <c r="B89" s="13"/>
      <c r="C89" s="13" t="s">
        <v>17</v>
      </c>
      <c r="D89" s="14" t="s">
        <v>59</v>
      </c>
      <c r="E89" s="12" t="s">
        <v>48</v>
      </c>
      <c r="F89" s="13">
        <v>0.0</v>
      </c>
      <c r="G89" s="12"/>
      <c r="H89" s="15"/>
      <c r="I89" s="28" t="s">
        <v>12</v>
      </c>
      <c r="J89" s="17"/>
      <c r="K89" s="18"/>
      <c r="L89" s="3"/>
      <c r="M89" s="3"/>
      <c r="N89" s="18"/>
      <c r="O89" s="3"/>
      <c r="P89" s="3"/>
      <c r="Q89" s="3"/>
    </row>
    <row r="90">
      <c r="A90" s="12" t="s">
        <v>19</v>
      </c>
      <c r="B90" s="13"/>
      <c r="C90" s="13" t="s">
        <v>17</v>
      </c>
      <c r="D90" s="14" t="s">
        <v>59</v>
      </c>
      <c r="E90" s="12" t="s">
        <v>15</v>
      </c>
      <c r="F90" s="13">
        <v>3.0</v>
      </c>
      <c r="G90" s="12">
        <v>48.0</v>
      </c>
      <c r="H90" s="15">
        <f t="shared" ref="H90:H91" si="6">PRODUCT(F90:G90)</f>
        <v>144</v>
      </c>
      <c r="I90" s="28" t="s">
        <v>12</v>
      </c>
      <c r="J90" s="17"/>
      <c r="K90" s="18"/>
      <c r="L90" s="3"/>
      <c r="M90" s="3"/>
      <c r="N90" s="18"/>
      <c r="O90" s="3"/>
      <c r="P90" s="3"/>
      <c r="Q90" s="3"/>
    </row>
    <row r="91">
      <c r="A91" s="12" t="s">
        <v>19</v>
      </c>
      <c r="B91" s="13"/>
      <c r="C91" s="13" t="s">
        <v>71</v>
      </c>
      <c r="D91" s="14" t="s">
        <v>59</v>
      </c>
      <c r="E91" s="12" t="s">
        <v>11</v>
      </c>
      <c r="F91" s="13">
        <v>1.0</v>
      </c>
      <c r="G91" s="12">
        <v>48.0</v>
      </c>
      <c r="H91" s="15">
        <f t="shared" si="6"/>
        <v>48</v>
      </c>
      <c r="I91" s="28" t="s">
        <v>12</v>
      </c>
      <c r="J91" s="17"/>
      <c r="K91" s="18"/>
      <c r="L91" s="3"/>
      <c r="M91" s="3"/>
      <c r="N91" s="3"/>
      <c r="O91" s="3"/>
      <c r="P91" s="3"/>
      <c r="Q91" s="3"/>
    </row>
    <row r="92">
      <c r="A92" s="12" t="s">
        <v>19</v>
      </c>
      <c r="B92" s="13"/>
      <c r="C92" s="25" t="s">
        <v>72</v>
      </c>
      <c r="D92" s="14" t="s">
        <v>59</v>
      </c>
      <c r="E92" s="12" t="s">
        <v>15</v>
      </c>
      <c r="F92" s="25">
        <v>0.0</v>
      </c>
      <c r="G92" s="12"/>
      <c r="H92" s="15"/>
      <c r="I92" s="28" t="s">
        <v>12</v>
      </c>
      <c r="J92" s="17"/>
      <c r="K92" s="18"/>
      <c r="L92" s="3"/>
      <c r="M92" s="3"/>
      <c r="N92" s="3"/>
      <c r="O92" s="3"/>
      <c r="P92" s="3"/>
      <c r="Q92" s="3"/>
    </row>
    <row r="93">
      <c r="A93" s="12" t="s">
        <v>19</v>
      </c>
      <c r="B93" s="13"/>
      <c r="C93" s="25" t="s">
        <v>73</v>
      </c>
      <c r="D93" s="14" t="s">
        <v>59</v>
      </c>
      <c r="E93" s="15" t="s">
        <v>15</v>
      </c>
      <c r="F93" s="25">
        <v>0.0</v>
      </c>
      <c r="G93" s="12">
        <v>48.0</v>
      </c>
      <c r="H93" s="15">
        <f>PRODUCT(F93:G93)</f>
        <v>0</v>
      </c>
      <c r="I93" s="28" t="s">
        <v>12</v>
      </c>
      <c r="J93" s="17"/>
      <c r="K93" s="18"/>
      <c r="L93" s="3"/>
      <c r="M93" s="3"/>
      <c r="N93" s="3"/>
      <c r="O93" s="3"/>
      <c r="P93" s="3"/>
      <c r="Q93" s="3"/>
    </row>
    <row r="94">
      <c r="A94" s="12" t="s">
        <v>19</v>
      </c>
      <c r="B94" s="13"/>
      <c r="C94" s="13" t="s">
        <v>24</v>
      </c>
      <c r="D94" s="14" t="s">
        <v>59</v>
      </c>
      <c r="E94" s="12" t="s">
        <v>15</v>
      </c>
      <c r="F94" s="13">
        <v>3.0</v>
      </c>
      <c r="G94" s="12"/>
      <c r="H94" s="15"/>
      <c r="I94" s="28" t="s">
        <v>12</v>
      </c>
      <c r="J94" s="17"/>
      <c r="K94" s="18"/>
      <c r="L94" s="3"/>
      <c r="M94" s="3"/>
      <c r="N94" s="3"/>
      <c r="O94" s="3"/>
      <c r="P94" s="3"/>
      <c r="Q94" s="3"/>
    </row>
    <row r="95">
      <c r="A95" s="12" t="s">
        <v>19</v>
      </c>
      <c r="B95" s="13"/>
      <c r="C95" s="19" t="s">
        <v>47</v>
      </c>
      <c r="D95" s="14" t="s">
        <v>59</v>
      </c>
      <c r="E95" s="12" t="s">
        <v>15</v>
      </c>
      <c r="F95" s="19">
        <v>1.0</v>
      </c>
      <c r="G95" s="12"/>
      <c r="H95" s="15"/>
      <c r="I95" s="28" t="s">
        <v>12</v>
      </c>
      <c r="J95" s="17"/>
      <c r="K95" s="18"/>
      <c r="L95" s="3"/>
      <c r="M95" s="3"/>
      <c r="N95" s="3"/>
      <c r="O95" s="3"/>
      <c r="P95" s="3"/>
      <c r="Q95" s="3"/>
    </row>
    <row r="96">
      <c r="A96" s="12" t="s">
        <v>19</v>
      </c>
      <c r="B96" s="9"/>
      <c r="C96" s="25" t="s">
        <v>14</v>
      </c>
      <c r="D96" s="14" t="s">
        <v>59</v>
      </c>
      <c r="E96" s="12" t="s">
        <v>15</v>
      </c>
      <c r="F96" s="25">
        <v>0.0</v>
      </c>
      <c r="G96" s="19"/>
      <c r="H96" s="19"/>
      <c r="I96" s="28"/>
      <c r="J96" s="19"/>
      <c r="K96" s="18"/>
      <c r="L96" s="3"/>
      <c r="M96" s="3"/>
      <c r="N96" s="3"/>
      <c r="O96" s="3"/>
      <c r="P96" s="3"/>
      <c r="Q96" s="3"/>
    </row>
    <row r="97">
      <c r="A97" s="12" t="s">
        <v>19</v>
      </c>
      <c r="B97" s="9"/>
      <c r="C97" s="19" t="s">
        <v>47</v>
      </c>
      <c r="D97" s="14" t="s">
        <v>59</v>
      </c>
      <c r="E97" s="12" t="s">
        <v>48</v>
      </c>
      <c r="F97" s="19">
        <v>2.0</v>
      </c>
      <c r="G97" s="19"/>
      <c r="H97" s="19"/>
      <c r="I97" s="28" t="s">
        <v>12</v>
      </c>
      <c r="J97" s="19"/>
      <c r="K97" s="18"/>
      <c r="L97" s="3"/>
      <c r="M97" s="3"/>
      <c r="N97" s="3"/>
      <c r="O97" s="3"/>
      <c r="P97" s="3"/>
      <c r="Q97" s="3"/>
    </row>
    <row r="98">
      <c r="A98" s="12" t="s">
        <v>54</v>
      </c>
      <c r="B98" s="9"/>
      <c r="C98" s="19" t="s">
        <v>17</v>
      </c>
      <c r="D98" s="14" t="s">
        <v>59</v>
      </c>
      <c r="E98" s="12" t="s">
        <v>15</v>
      </c>
      <c r="F98" s="19">
        <v>4.0</v>
      </c>
      <c r="G98" s="19">
        <v>0.0</v>
      </c>
      <c r="H98" s="19">
        <v>0.0</v>
      </c>
      <c r="I98" s="28" t="s">
        <v>12</v>
      </c>
      <c r="J98" s="19"/>
      <c r="K98" s="18"/>
      <c r="L98" s="3"/>
      <c r="M98" s="3"/>
      <c r="N98" s="3"/>
      <c r="O98" s="3"/>
      <c r="P98" s="3"/>
      <c r="Q98" s="3"/>
    </row>
    <row r="99">
      <c r="A99" s="12" t="s">
        <v>54</v>
      </c>
      <c r="B99" s="9"/>
      <c r="C99" s="19" t="s">
        <v>30</v>
      </c>
      <c r="D99" s="14" t="s">
        <v>59</v>
      </c>
      <c r="E99" s="12" t="s">
        <v>15</v>
      </c>
      <c r="F99" s="19">
        <v>1.0</v>
      </c>
      <c r="G99" s="19">
        <v>0.0</v>
      </c>
      <c r="H99" s="19">
        <v>0.0</v>
      </c>
      <c r="I99" s="28" t="s">
        <v>12</v>
      </c>
      <c r="J99" s="19"/>
      <c r="K99" s="18"/>
      <c r="L99" s="3"/>
      <c r="M99" s="3"/>
      <c r="N99" s="3"/>
      <c r="O99" s="3"/>
      <c r="P99" s="3"/>
      <c r="Q99" s="3"/>
    </row>
    <row r="100">
      <c r="A100" s="12" t="s">
        <v>54</v>
      </c>
      <c r="B100" s="9"/>
      <c r="C100" s="19" t="s">
        <v>56</v>
      </c>
      <c r="D100" s="14" t="s">
        <v>59</v>
      </c>
      <c r="E100" s="12" t="s">
        <v>15</v>
      </c>
      <c r="F100" s="19">
        <v>1.0</v>
      </c>
      <c r="G100" s="9"/>
      <c r="H100" s="9"/>
      <c r="I100" s="28" t="s">
        <v>12</v>
      </c>
      <c r="J100" s="17"/>
      <c r="K100" s="18"/>
      <c r="L100" s="3"/>
      <c r="M100" s="3"/>
      <c r="N100" s="3"/>
      <c r="O100" s="3"/>
      <c r="P100" s="3"/>
      <c r="Q100" s="3"/>
    </row>
    <row r="101">
      <c r="A101" s="12" t="s">
        <v>57</v>
      </c>
      <c r="B101" s="9"/>
      <c r="C101" s="25" t="s">
        <v>17</v>
      </c>
      <c r="D101" s="14" t="s">
        <v>59</v>
      </c>
      <c r="E101" s="12" t="s">
        <v>15</v>
      </c>
      <c r="F101" s="25">
        <v>0.0</v>
      </c>
      <c r="G101" s="9"/>
      <c r="H101" s="9"/>
      <c r="I101" s="40" t="s">
        <v>12</v>
      </c>
      <c r="J101" s="10"/>
      <c r="K101" s="3"/>
      <c r="L101" s="3"/>
      <c r="M101" s="3"/>
      <c r="N101" s="3"/>
      <c r="O101" s="3"/>
      <c r="P101" s="3"/>
      <c r="Q101" s="3"/>
    </row>
    <row r="102">
      <c r="A102" s="39"/>
      <c r="B102" s="9"/>
      <c r="C102" s="9"/>
      <c r="D102" s="9"/>
      <c r="E102" s="9"/>
      <c r="F102" s="9"/>
      <c r="G102" s="9"/>
      <c r="H102" s="9"/>
      <c r="I102" s="33"/>
      <c r="J102" s="10"/>
      <c r="K102" s="3"/>
      <c r="L102" s="3"/>
      <c r="M102" s="3"/>
      <c r="N102" s="3"/>
      <c r="O102" s="3"/>
      <c r="P102" s="3"/>
      <c r="Q102" s="3"/>
    </row>
    <row r="103">
      <c r="A103" s="39"/>
      <c r="B103" s="39"/>
      <c r="C103" s="9"/>
      <c r="D103" s="39"/>
      <c r="E103" s="39"/>
      <c r="F103" s="39"/>
      <c r="G103" s="39"/>
      <c r="H103" s="39">
        <f>SUM(H71:H95)</f>
        <v>1015</v>
      </c>
      <c r="I103" s="33"/>
      <c r="J103" s="10"/>
      <c r="K103" s="3"/>
      <c r="L103" s="3"/>
      <c r="M103" s="3"/>
      <c r="N103" s="3"/>
      <c r="O103" s="3"/>
      <c r="P103" s="3"/>
      <c r="Q103" s="3"/>
    </row>
    <row r="104">
      <c r="A104" s="39"/>
      <c r="B104" s="39"/>
      <c r="C104" s="9"/>
      <c r="D104" s="39"/>
      <c r="E104" s="41" t="s">
        <v>74</v>
      </c>
      <c r="G104" s="39"/>
      <c r="H104" s="39"/>
      <c r="I104" s="33"/>
      <c r="J104" s="10"/>
      <c r="K104" s="3"/>
      <c r="L104" s="3"/>
      <c r="M104" s="3"/>
      <c r="N104" s="3"/>
      <c r="O104" s="3"/>
      <c r="P104" s="3"/>
      <c r="Q104" s="3"/>
    </row>
    <row r="105">
      <c r="A105" s="39"/>
      <c r="B105" s="39"/>
      <c r="C105" s="9"/>
      <c r="D105" s="39"/>
      <c r="E105" s="39"/>
      <c r="F105" s="39"/>
      <c r="G105" s="39"/>
      <c r="H105" s="39"/>
      <c r="I105" s="33"/>
      <c r="J105" s="10"/>
      <c r="K105" s="3"/>
      <c r="L105" s="3"/>
      <c r="M105" s="3"/>
      <c r="N105" s="3"/>
      <c r="O105" s="3"/>
      <c r="P105" s="3"/>
      <c r="Q105" s="3"/>
    </row>
    <row r="106">
      <c r="A106" s="8" t="s">
        <v>1</v>
      </c>
      <c r="B106" s="8"/>
      <c r="C106" s="8" t="s">
        <v>2</v>
      </c>
      <c r="D106" s="8" t="s">
        <v>3</v>
      </c>
      <c r="E106" s="8" t="s">
        <v>4</v>
      </c>
      <c r="F106" s="8" t="s">
        <v>5</v>
      </c>
      <c r="G106" s="8" t="s">
        <v>6</v>
      </c>
      <c r="H106" s="8" t="s">
        <v>7</v>
      </c>
      <c r="I106" s="33"/>
      <c r="J106" s="10"/>
      <c r="K106" s="3"/>
      <c r="L106" s="3"/>
      <c r="M106" s="3"/>
      <c r="N106" s="3"/>
      <c r="O106" s="3"/>
      <c r="P106" s="3"/>
      <c r="Q106" s="3"/>
    </row>
    <row r="107">
      <c r="A107" s="12" t="s">
        <v>8</v>
      </c>
      <c r="B107" s="13"/>
      <c r="C107" s="13" t="s">
        <v>17</v>
      </c>
      <c r="D107" s="14" t="s">
        <v>75</v>
      </c>
      <c r="E107" s="12" t="s">
        <v>15</v>
      </c>
      <c r="F107" s="13">
        <v>3.0</v>
      </c>
      <c r="G107" s="12"/>
      <c r="H107" s="15"/>
      <c r="I107" s="28" t="s">
        <v>12</v>
      </c>
      <c r="J107" s="17"/>
      <c r="K107" s="18"/>
      <c r="L107" s="3"/>
      <c r="M107" s="3"/>
      <c r="N107" s="3"/>
      <c r="O107" s="3"/>
      <c r="P107" s="3"/>
      <c r="Q107" s="3"/>
    </row>
    <row r="108">
      <c r="A108" s="12" t="s">
        <v>8</v>
      </c>
      <c r="B108" s="13"/>
      <c r="C108" s="13" t="s">
        <v>43</v>
      </c>
      <c r="D108" s="14" t="s">
        <v>75</v>
      </c>
      <c r="E108" s="12" t="s">
        <v>15</v>
      </c>
      <c r="F108" s="13">
        <v>1.0</v>
      </c>
      <c r="G108" s="12"/>
      <c r="H108" s="15"/>
      <c r="I108" s="28" t="s">
        <v>12</v>
      </c>
      <c r="J108" s="17"/>
      <c r="K108" s="18"/>
      <c r="L108" s="3"/>
      <c r="M108" s="3"/>
      <c r="N108" s="3"/>
      <c r="O108" s="3"/>
      <c r="P108" s="3"/>
      <c r="Q108" s="3"/>
    </row>
    <row r="109">
      <c r="A109" s="12" t="s">
        <v>8</v>
      </c>
      <c r="B109" s="13"/>
      <c r="C109" s="13" t="s">
        <v>38</v>
      </c>
      <c r="D109" s="14" t="s">
        <v>75</v>
      </c>
      <c r="E109" s="12" t="s">
        <v>15</v>
      </c>
      <c r="F109" s="13">
        <v>1.0</v>
      </c>
      <c r="G109" s="12"/>
      <c r="H109" s="15"/>
      <c r="I109" s="28"/>
      <c r="J109" s="17"/>
      <c r="K109" s="18"/>
      <c r="L109" s="3"/>
      <c r="M109" s="3"/>
      <c r="N109" s="3"/>
      <c r="O109" s="3"/>
      <c r="P109" s="3"/>
      <c r="Q109" s="3"/>
    </row>
    <row r="110">
      <c r="A110" s="12" t="s">
        <v>8</v>
      </c>
      <c r="B110" s="13"/>
      <c r="C110" s="13" t="s">
        <v>39</v>
      </c>
      <c r="D110" s="14" t="s">
        <v>75</v>
      </c>
      <c r="E110" s="12" t="s">
        <v>15</v>
      </c>
      <c r="F110" s="13">
        <v>1.0</v>
      </c>
      <c r="G110" s="12"/>
      <c r="H110" s="15"/>
      <c r="I110" s="28"/>
      <c r="J110" s="17"/>
      <c r="K110" s="18"/>
      <c r="L110" s="3"/>
      <c r="M110" s="3"/>
      <c r="N110" s="3"/>
      <c r="O110" s="3"/>
      <c r="P110" s="3"/>
      <c r="Q110" s="3"/>
    </row>
    <row r="111">
      <c r="A111" s="12" t="s">
        <v>8</v>
      </c>
      <c r="B111" s="13"/>
      <c r="C111" s="13" t="s">
        <v>35</v>
      </c>
      <c r="D111" s="14" t="s">
        <v>75</v>
      </c>
      <c r="E111" s="12" t="s">
        <v>15</v>
      </c>
      <c r="F111" s="13">
        <v>2.0</v>
      </c>
      <c r="G111" s="12"/>
      <c r="H111" s="15"/>
      <c r="I111" s="28" t="s">
        <v>12</v>
      </c>
      <c r="J111" s="17"/>
      <c r="K111" s="18"/>
      <c r="L111" s="3"/>
      <c r="M111" s="3"/>
      <c r="N111" s="3"/>
      <c r="O111" s="3"/>
      <c r="P111" s="3"/>
      <c r="Q111" s="3"/>
    </row>
    <row r="112">
      <c r="A112" s="12" t="s">
        <v>13</v>
      </c>
      <c r="B112" s="13"/>
      <c r="C112" s="13" t="s">
        <v>66</v>
      </c>
      <c r="D112" s="14" t="s">
        <v>75</v>
      </c>
      <c r="E112" s="12" t="s">
        <v>15</v>
      </c>
      <c r="F112" s="13">
        <v>4.0</v>
      </c>
      <c r="G112" s="12"/>
      <c r="H112" s="15"/>
      <c r="I112" s="28" t="s">
        <v>12</v>
      </c>
      <c r="J112" s="17"/>
      <c r="K112" s="18"/>
      <c r="L112" s="3"/>
      <c r="M112" s="3"/>
      <c r="N112" s="3"/>
      <c r="O112" s="3"/>
      <c r="P112" s="3"/>
      <c r="Q112" s="3"/>
    </row>
    <row r="113">
      <c r="A113" s="12" t="s">
        <v>13</v>
      </c>
      <c r="B113" s="13"/>
      <c r="C113" s="13" t="s">
        <v>76</v>
      </c>
      <c r="D113" s="14" t="s">
        <v>75</v>
      </c>
      <c r="E113" s="12" t="s">
        <v>15</v>
      </c>
      <c r="F113" s="13">
        <v>3.0</v>
      </c>
      <c r="G113" s="12"/>
      <c r="H113" s="15"/>
      <c r="I113" s="28" t="s">
        <v>12</v>
      </c>
      <c r="J113" s="17"/>
      <c r="K113" s="18"/>
      <c r="L113" s="3"/>
      <c r="M113" s="3"/>
      <c r="N113" s="3"/>
      <c r="O113" s="3"/>
      <c r="P113" s="3"/>
      <c r="Q113" s="3"/>
    </row>
    <row r="114">
      <c r="A114" s="12" t="s">
        <v>13</v>
      </c>
      <c r="B114" s="13"/>
      <c r="C114" s="13" t="s">
        <v>77</v>
      </c>
      <c r="D114" s="14" t="s">
        <v>75</v>
      </c>
      <c r="E114" s="12" t="s">
        <v>15</v>
      </c>
      <c r="F114" s="13">
        <v>1.0</v>
      </c>
      <c r="G114" s="12">
        <v>35.0</v>
      </c>
      <c r="H114" s="15">
        <f t="shared" ref="H114:H115" si="7">PRODUCT(F114:G114)</f>
        <v>35</v>
      </c>
      <c r="I114" s="28" t="s">
        <v>12</v>
      </c>
      <c r="J114" s="17"/>
      <c r="K114" s="18"/>
      <c r="L114" s="3"/>
      <c r="M114" s="3"/>
      <c r="N114" s="3"/>
      <c r="O114" s="3"/>
      <c r="P114" s="3"/>
      <c r="Q114" s="3"/>
    </row>
    <row r="115">
      <c r="A115" s="12" t="s">
        <v>13</v>
      </c>
      <c r="B115" s="13"/>
      <c r="C115" s="13" t="s">
        <v>46</v>
      </c>
      <c r="D115" s="14" t="s">
        <v>75</v>
      </c>
      <c r="E115" s="12" t="s">
        <v>15</v>
      </c>
      <c r="F115" s="13">
        <v>1.0</v>
      </c>
      <c r="G115" s="12">
        <v>35.0</v>
      </c>
      <c r="H115" s="15">
        <f t="shared" si="7"/>
        <v>35</v>
      </c>
      <c r="I115" s="28" t="s">
        <v>12</v>
      </c>
      <c r="J115" s="17"/>
      <c r="K115" s="18"/>
      <c r="L115" s="3"/>
      <c r="M115" s="3"/>
      <c r="N115" s="3"/>
      <c r="O115" s="3"/>
      <c r="P115" s="3"/>
      <c r="Q115" s="3"/>
    </row>
    <row r="116">
      <c r="A116" s="12" t="s">
        <v>13</v>
      </c>
      <c r="B116" s="13"/>
      <c r="C116" s="13" t="s">
        <v>60</v>
      </c>
      <c r="D116" s="14" t="s">
        <v>75</v>
      </c>
      <c r="E116" s="12" t="s">
        <v>15</v>
      </c>
      <c r="F116" s="13">
        <v>1.0</v>
      </c>
      <c r="G116" s="12"/>
      <c r="H116" s="15"/>
      <c r="I116" s="28" t="s">
        <v>12</v>
      </c>
      <c r="J116" s="17"/>
      <c r="K116" s="18"/>
      <c r="L116" s="3"/>
      <c r="M116" s="3"/>
      <c r="N116" s="3"/>
      <c r="O116" s="3"/>
      <c r="P116" s="3"/>
      <c r="Q116" s="3"/>
    </row>
    <row r="117">
      <c r="A117" s="12" t="s">
        <v>13</v>
      </c>
      <c r="B117" s="13"/>
      <c r="C117" s="13" t="s">
        <v>78</v>
      </c>
      <c r="D117" s="14" t="s">
        <v>75</v>
      </c>
      <c r="E117" s="12" t="s">
        <v>15</v>
      </c>
      <c r="F117" s="13">
        <v>1.0</v>
      </c>
      <c r="G117" s="12"/>
      <c r="H117" s="15"/>
      <c r="I117" s="28" t="s">
        <v>12</v>
      </c>
      <c r="J117" s="17"/>
      <c r="K117" s="18"/>
      <c r="L117" s="3"/>
      <c r="M117" s="3"/>
      <c r="N117" s="3"/>
      <c r="O117" s="3"/>
      <c r="P117" s="3"/>
      <c r="Q117" s="3"/>
    </row>
    <row r="118">
      <c r="A118" s="12" t="s">
        <v>13</v>
      </c>
      <c r="B118" s="13"/>
      <c r="C118" s="13" t="s">
        <v>39</v>
      </c>
      <c r="D118" s="14" t="s">
        <v>75</v>
      </c>
      <c r="E118" s="12" t="s">
        <v>15</v>
      </c>
      <c r="F118" s="13">
        <v>2.0</v>
      </c>
      <c r="G118" s="12"/>
      <c r="H118" s="15"/>
      <c r="I118" s="28" t="s">
        <v>12</v>
      </c>
      <c r="J118" s="17"/>
      <c r="K118" s="18"/>
      <c r="L118" s="3"/>
      <c r="M118" s="3"/>
      <c r="N118" s="3"/>
      <c r="O118" s="3"/>
      <c r="P118" s="3"/>
      <c r="Q118" s="3"/>
    </row>
    <row r="119">
      <c r="A119" s="12" t="s">
        <v>13</v>
      </c>
      <c r="B119" s="13"/>
      <c r="C119" s="13" t="s">
        <v>18</v>
      </c>
      <c r="D119" s="14" t="s">
        <v>75</v>
      </c>
      <c r="E119" s="12" t="s">
        <v>15</v>
      </c>
      <c r="F119" s="13">
        <v>1.0</v>
      </c>
      <c r="G119" s="12"/>
      <c r="H119" s="15"/>
      <c r="I119" s="28" t="s">
        <v>12</v>
      </c>
      <c r="J119" s="17"/>
      <c r="K119" s="18"/>
      <c r="L119" s="3"/>
      <c r="M119" s="3"/>
      <c r="N119" s="3"/>
      <c r="O119" s="3"/>
      <c r="P119" s="3"/>
      <c r="Q119" s="3"/>
    </row>
    <row r="120">
      <c r="A120" s="12" t="s">
        <v>40</v>
      </c>
      <c r="B120" s="13"/>
      <c r="C120" s="13" t="s">
        <v>43</v>
      </c>
      <c r="D120" s="14" t="s">
        <v>75</v>
      </c>
      <c r="E120" s="12" t="s">
        <v>15</v>
      </c>
      <c r="F120" s="13">
        <v>1.0</v>
      </c>
      <c r="G120" s="12">
        <v>35.0</v>
      </c>
      <c r="H120" s="12">
        <v>25.0</v>
      </c>
      <c r="I120" s="28" t="s">
        <v>12</v>
      </c>
      <c r="J120" s="17"/>
      <c r="K120" s="18"/>
      <c r="L120" s="3"/>
      <c r="M120" s="3"/>
      <c r="N120" s="3"/>
      <c r="O120" s="3"/>
      <c r="P120" s="3"/>
      <c r="Q120" s="3"/>
    </row>
    <row r="121">
      <c r="A121" s="12" t="s">
        <v>40</v>
      </c>
      <c r="B121" s="13"/>
      <c r="C121" s="25" t="s">
        <v>17</v>
      </c>
      <c r="D121" s="14" t="s">
        <v>75</v>
      </c>
      <c r="E121" s="12" t="s">
        <v>15</v>
      </c>
      <c r="F121" s="25">
        <v>0.0</v>
      </c>
      <c r="G121" s="12"/>
      <c r="H121" s="15"/>
      <c r="I121" s="28" t="s">
        <v>12</v>
      </c>
      <c r="J121" s="17"/>
      <c r="K121" s="18"/>
      <c r="L121" s="3"/>
      <c r="M121" s="3"/>
      <c r="N121" s="3"/>
      <c r="O121" s="3"/>
      <c r="P121" s="3"/>
      <c r="Q121" s="3"/>
    </row>
    <row r="122">
      <c r="A122" s="12" t="s">
        <v>40</v>
      </c>
      <c r="B122" s="13"/>
      <c r="C122" s="13" t="s">
        <v>79</v>
      </c>
      <c r="D122" s="14" t="s">
        <v>75</v>
      </c>
      <c r="E122" s="12" t="s">
        <v>15</v>
      </c>
      <c r="F122" s="13">
        <v>1.0</v>
      </c>
      <c r="G122" s="12"/>
      <c r="H122" s="15"/>
      <c r="I122" s="28"/>
      <c r="J122" s="17"/>
      <c r="K122" s="18"/>
      <c r="L122" s="3"/>
      <c r="M122" s="3"/>
      <c r="N122" s="3"/>
      <c r="O122" s="3"/>
      <c r="P122" s="3"/>
      <c r="Q122" s="3"/>
    </row>
    <row r="123">
      <c r="A123" s="12" t="s">
        <v>40</v>
      </c>
      <c r="B123" s="13"/>
      <c r="C123" s="13" t="s">
        <v>21</v>
      </c>
      <c r="D123" s="14" t="s">
        <v>75</v>
      </c>
      <c r="E123" s="12" t="s">
        <v>15</v>
      </c>
      <c r="F123" s="13">
        <v>1.0</v>
      </c>
      <c r="G123" s="12"/>
      <c r="H123" s="15"/>
      <c r="I123" s="28"/>
      <c r="J123" s="17"/>
      <c r="K123" s="18"/>
      <c r="L123" s="3"/>
      <c r="M123" s="3"/>
      <c r="N123" s="3"/>
      <c r="O123" s="3"/>
      <c r="P123" s="3"/>
      <c r="Q123" s="3"/>
    </row>
    <row r="124">
      <c r="A124" s="12" t="s">
        <v>40</v>
      </c>
      <c r="B124" s="13"/>
      <c r="C124" s="13" t="s">
        <v>39</v>
      </c>
      <c r="D124" s="14" t="s">
        <v>75</v>
      </c>
      <c r="E124" s="12" t="s">
        <v>15</v>
      </c>
      <c r="F124" s="13">
        <v>1.0</v>
      </c>
      <c r="G124" s="12"/>
      <c r="H124" s="15"/>
      <c r="I124" s="28" t="s">
        <v>12</v>
      </c>
      <c r="J124" s="17"/>
      <c r="K124" s="18"/>
      <c r="L124" s="3"/>
      <c r="M124" s="3"/>
      <c r="N124" s="3"/>
      <c r="O124" s="3"/>
      <c r="P124" s="3"/>
      <c r="Q124" s="3"/>
    </row>
    <row r="125">
      <c r="A125" s="12" t="s">
        <v>19</v>
      </c>
      <c r="B125" s="13"/>
      <c r="C125" s="13" t="s">
        <v>38</v>
      </c>
      <c r="D125" s="14" t="s">
        <v>75</v>
      </c>
      <c r="E125" s="12" t="s">
        <v>15</v>
      </c>
      <c r="F125" s="13">
        <v>2.0</v>
      </c>
      <c r="G125" s="12"/>
      <c r="H125" s="15"/>
      <c r="I125" s="28" t="s">
        <v>12</v>
      </c>
      <c r="J125" s="17"/>
      <c r="K125" s="18"/>
      <c r="L125" s="3"/>
      <c r="M125" s="3"/>
      <c r="N125" s="3"/>
      <c r="O125" s="3"/>
      <c r="P125" s="3"/>
      <c r="Q125" s="3"/>
    </row>
    <row r="126">
      <c r="A126" s="12" t="s">
        <v>19</v>
      </c>
      <c r="B126" s="13"/>
      <c r="C126" s="25" t="s">
        <v>80</v>
      </c>
      <c r="D126" s="14" t="s">
        <v>75</v>
      </c>
      <c r="E126" s="12" t="s">
        <v>15</v>
      </c>
      <c r="F126" s="25">
        <v>0.0</v>
      </c>
      <c r="G126" s="12"/>
      <c r="H126" s="15"/>
      <c r="I126" s="28" t="s">
        <v>12</v>
      </c>
      <c r="J126" s="17"/>
      <c r="K126" s="18"/>
      <c r="L126" s="3"/>
      <c r="M126" s="3"/>
      <c r="N126" s="3"/>
      <c r="O126" s="3"/>
      <c r="P126" s="3"/>
      <c r="Q126" s="3"/>
    </row>
    <row r="127">
      <c r="A127" s="12" t="s">
        <v>19</v>
      </c>
      <c r="B127" s="13"/>
      <c r="C127" s="13" t="s">
        <v>64</v>
      </c>
      <c r="D127" s="14" t="s">
        <v>75</v>
      </c>
      <c r="E127" s="12" t="s">
        <v>11</v>
      </c>
      <c r="F127" s="13">
        <v>1.0</v>
      </c>
      <c r="G127" s="12">
        <v>48.0</v>
      </c>
      <c r="H127" s="15">
        <f>PRODUCT(F127:G127)</f>
        <v>48</v>
      </c>
      <c r="I127" s="28" t="s">
        <v>12</v>
      </c>
      <c r="J127" s="17"/>
      <c r="K127" s="18"/>
      <c r="L127" s="3"/>
      <c r="M127" s="3"/>
      <c r="N127" s="3"/>
      <c r="O127" s="3"/>
      <c r="P127" s="3"/>
      <c r="Q127" s="3"/>
    </row>
    <row r="128">
      <c r="A128" s="12" t="s">
        <v>19</v>
      </c>
      <c r="B128" s="13"/>
      <c r="C128" s="25" t="s">
        <v>47</v>
      </c>
      <c r="D128" s="14" t="s">
        <v>75</v>
      </c>
      <c r="E128" s="12" t="s">
        <v>15</v>
      </c>
      <c r="F128" s="25">
        <v>0.0</v>
      </c>
      <c r="G128" s="12"/>
      <c r="H128" s="15"/>
      <c r="I128" s="28" t="s">
        <v>12</v>
      </c>
      <c r="J128" s="43"/>
      <c r="K128" s="18"/>
      <c r="L128" s="3"/>
      <c r="M128" s="3"/>
      <c r="N128" s="3"/>
      <c r="O128" s="3"/>
      <c r="P128" s="3"/>
      <c r="Q128" s="3"/>
    </row>
    <row r="129">
      <c r="A129" s="12" t="s">
        <v>19</v>
      </c>
      <c r="B129" s="13"/>
      <c r="C129" s="19" t="s">
        <v>47</v>
      </c>
      <c r="D129" s="14" t="s">
        <v>75</v>
      </c>
      <c r="E129" s="12" t="s">
        <v>48</v>
      </c>
      <c r="F129" s="19">
        <v>1.0</v>
      </c>
      <c r="G129" s="12"/>
      <c r="H129" s="15"/>
      <c r="I129" s="28" t="s">
        <v>12</v>
      </c>
      <c r="J129" s="43"/>
      <c r="K129" s="18"/>
      <c r="L129" s="3"/>
      <c r="M129" s="3"/>
      <c r="N129" s="3"/>
      <c r="O129" s="3"/>
      <c r="P129" s="3"/>
      <c r="Q129" s="3"/>
    </row>
    <row r="130">
      <c r="A130" s="12" t="s">
        <v>19</v>
      </c>
      <c r="B130" s="13"/>
      <c r="C130" s="19" t="s">
        <v>81</v>
      </c>
      <c r="D130" s="14" t="s">
        <v>75</v>
      </c>
      <c r="E130" s="12" t="s">
        <v>15</v>
      </c>
      <c r="F130" s="19">
        <v>1.0</v>
      </c>
      <c r="G130" s="12"/>
      <c r="H130" s="15"/>
      <c r="I130" s="28" t="s">
        <v>12</v>
      </c>
      <c r="J130" s="43"/>
      <c r="K130" s="18"/>
      <c r="L130" s="3"/>
      <c r="M130" s="3"/>
      <c r="N130" s="3"/>
      <c r="O130" s="3"/>
      <c r="P130" s="3"/>
      <c r="Q130" s="3"/>
    </row>
    <row r="131">
      <c r="A131" s="12" t="s">
        <v>19</v>
      </c>
      <c r="B131" s="13"/>
      <c r="C131" s="13" t="s">
        <v>82</v>
      </c>
      <c r="D131" s="14" t="s">
        <v>75</v>
      </c>
      <c r="E131" s="12" t="s">
        <v>48</v>
      </c>
      <c r="F131" s="13">
        <v>1.0</v>
      </c>
      <c r="G131" s="12"/>
      <c r="H131" s="15"/>
      <c r="I131" s="28" t="s">
        <v>12</v>
      </c>
      <c r="J131" s="43"/>
      <c r="K131" s="18"/>
      <c r="L131" s="3"/>
      <c r="M131" s="3"/>
      <c r="N131" s="3"/>
      <c r="O131" s="3"/>
      <c r="P131" s="3"/>
      <c r="Q131" s="3"/>
    </row>
    <row r="132">
      <c r="A132" s="12" t="s">
        <v>19</v>
      </c>
      <c r="B132" s="13"/>
      <c r="C132" s="25" t="s">
        <v>21</v>
      </c>
      <c r="D132" s="14" t="s">
        <v>75</v>
      </c>
      <c r="E132" s="12" t="s">
        <v>15</v>
      </c>
      <c r="F132" s="25">
        <v>0.0</v>
      </c>
      <c r="G132" s="12"/>
      <c r="H132" s="15"/>
      <c r="I132" s="28" t="s">
        <v>12</v>
      </c>
      <c r="J132" s="43"/>
      <c r="K132" s="18"/>
      <c r="L132" s="3"/>
      <c r="M132" s="3"/>
      <c r="N132" s="3"/>
      <c r="O132" s="3"/>
      <c r="P132" s="3"/>
      <c r="Q132" s="3"/>
    </row>
    <row r="133">
      <c r="A133" s="12" t="s">
        <v>19</v>
      </c>
      <c r="B133" s="13"/>
      <c r="C133" s="25" t="s">
        <v>83</v>
      </c>
      <c r="D133" s="14" t="s">
        <v>75</v>
      </c>
      <c r="E133" s="12" t="s">
        <v>15</v>
      </c>
      <c r="F133" s="25">
        <v>0.0</v>
      </c>
      <c r="G133" s="12"/>
      <c r="H133" s="15"/>
      <c r="I133" s="28" t="s">
        <v>12</v>
      </c>
      <c r="J133" s="43"/>
      <c r="K133" s="18"/>
      <c r="L133" s="3"/>
      <c r="M133" s="3"/>
      <c r="N133" s="3"/>
      <c r="O133" s="3"/>
      <c r="P133" s="3"/>
      <c r="Q133" s="3"/>
    </row>
    <row r="134">
      <c r="A134" s="12" t="s">
        <v>19</v>
      </c>
      <c r="B134" s="13"/>
      <c r="C134" s="13" t="s">
        <v>84</v>
      </c>
      <c r="D134" s="14" t="s">
        <v>75</v>
      </c>
      <c r="E134" s="12" t="s">
        <v>11</v>
      </c>
      <c r="F134" s="13">
        <v>1.0</v>
      </c>
      <c r="G134" s="12"/>
      <c r="H134" s="15"/>
      <c r="I134" s="28" t="s">
        <v>12</v>
      </c>
      <c r="J134" s="43"/>
      <c r="K134" s="18"/>
      <c r="L134" s="3"/>
      <c r="M134" s="3"/>
      <c r="N134" s="3"/>
      <c r="O134" s="3"/>
      <c r="P134" s="3"/>
      <c r="Q134" s="3"/>
    </row>
    <row r="135">
      <c r="A135" s="12" t="s">
        <v>19</v>
      </c>
      <c r="B135" s="13"/>
      <c r="C135" s="13" t="s">
        <v>30</v>
      </c>
      <c r="D135" s="14" t="s">
        <v>75</v>
      </c>
      <c r="E135" s="12" t="s">
        <v>48</v>
      </c>
      <c r="F135" s="13">
        <v>1.0</v>
      </c>
      <c r="G135" s="12"/>
      <c r="H135" s="15"/>
      <c r="I135" s="28" t="s">
        <v>12</v>
      </c>
      <c r="J135" s="43"/>
      <c r="K135" s="18"/>
      <c r="L135" s="3"/>
      <c r="M135" s="3"/>
      <c r="N135" s="3"/>
      <c r="O135" s="3"/>
      <c r="P135" s="3"/>
      <c r="Q135" s="3"/>
    </row>
    <row r="136">
      <c r="A136" s="12" t="s">
        <v>19</v>
      </c>
      <c r="B136" s="13"/>
      <c r="C136" s="13" t="s">
        <v>37</v>
      </c>
      <c r="D136" s="14" t="s">
        <v>75</v>
      </c>
      <c r="E136" s="12" t="s">
        <v>15</v>
      </c>
      <c r="F136" s="13">
        <v>2.0</v>
      </c>
      <c r="G136" s="12"/>
      <c r="H136" s="15"/>
      <c r="I136" s="28" t="s">
        <v>12</v>
      </c>
      <c r="J136" s="43"/>
      <c r="K136" s="18"/>
      <c r="L136" s="3"/>
      <c r="M136" s="3"/>
      <c r="N136" s="3"/>
      <c r="O136" s="3"/>
      <c r="P136" s="3"/>
      <c r="Q136" s="3"/>
    </row>
    <row r="137">
      <c r="A137" s="12" t="s">
        <v>54</v>
      </c>
      <c r="B137" s="39"/>
      <c r="C137" s="19" t="s">
        <v>60</v>
      </c>
      <c r="D137" s="14" t="s">
        <v>75</v>
      </c>
      <c r="E137" s="12" t="s">
        <v>15</v>
      </c>
      <c r="F137" s="42">
        <v>2.0</v>
      </c>
      <c r="G137" s="19">
        <v>0.0</v>
      </c>
      <c r="H137" s="19">
        <v>0.0</v>
      </c>
      <c r="I137" s="28" t="s">
        <v>12</v>
      </c>
      <c r="J137" s="34"/>
      <c r="K137" s="18"/>
    </row>
    <row r="138">
      <c r="A138" s="12" t="s">
        <v>54</v>
      </c>
      <c r="B138" s="39"/>
      <c r="C138" s="19" t="s">
        <v>30</v>
      </c>
      <c r="D138" s="14" t="s">
        <v>75</v>
      </c>
      <c r="E138" s="12" t="s">
        <v>15</v>
      </c>
      <c r="F138" s="19">
        <v>2.0</v>
      </c>
      <c r="G138" s="19">
        <v>0.0</v>
      </c>
      <c r="H138" s="19">
        <v>0.0</v>
      </c>
      <c r="I138" s="28" t="s">
        <v>12</v>
      </c>
      <c r="J138" s="34"/>
      <c r="K138" s="18"/>
    </row>
    <row r="139">
      <c r="A139" s="12" t="s">
        <v>54</v>
      </c>
      <c r="C139" s="19" t="s">
        <v>56</v>
      </c>
      <c r="D139" s="14" t="s">
        <v>75</v>
      </c>
      <c r="E139" s="12" t="s">
        <v>15</v>
      </c>
      <c r="F139" s="44">
        <v>2.0</v>
      </c>
      <c r="G139" s="39"/>
      <c r="H139" s="39"/>
      <c r="I139" s="28" t="s">
        <v>12</v>
      </c>
      <c r="J139" s="42"/>
      <c r="K139" s="18"/>
    </row>
    <row r="140">
      <c r="A140" s="12" t="s">
        <v>57</v>
      </c>
      <c r="C140" s="25" t="s">
        <v>17</v>
      </c>
      <c r="D140" s="14" t="s">
        <v>75</v>
      </c>
      <c r="E140" s="12" t="s">
        <v>15</v>
      </c>
      <c r="F140" s="45">
        <v>0.0</v>
      </c>
      <c r="G140" s="39"/>
      <c r="H140" s="39"/>
      <c r="I140" s="40" t="s">
        <v>12</v>
      </c>
      <c r="J140" s="39"/>
    </row>
    <row r="141">
      <c r="A141" s="39"/>
      <c r="C141" s="9"/>
      <c r="D141" s="39"/>
      <c r="E141" s="46"/>
      <c r="F141" s="46"/>
      <c r="G141" s="39"/>
      <c r="H141" s="39"/>
      <c r="I141" s="33"/>
      <c r="J141" s="39"/>
    </row>
    <row r="142">
      <c r="A142" s="39"/>
      <c r="C142" s="9"/>
      <c r="D142" s="39"/>
      <c r="E142" s="46"/>
      <c r="F142" s="46"/>
      <c r="G142" s="39"/>
      <c r="H142" s="39"/>
      <c r="I142" s="33"/>
      <c r="J142" s="39"/>
    </row>
    <row r="143">
      <c r="A143" s="39"/>
      <c r="C143" s="9"/>
      <c r="D143" s="39"/>
      <c r="E143" s="41" t="s">
        <v>85</v>
      </c>
      <c r="G143" s="39"/>
      <c r="H143" s="39"/>
      <c r="I143" s="33"/>
      <c r="J143" s="39"/>
    </row>
    <row r="144">
      <c r="A144" s="39"/>
      <c r="B144" s="39"/>
      <c r="C144" s="9"/>
      <c r="D144" s="39"/>
      <c r="E144" s="39"/>
      <c r="F144" s="39"/>
      <c r="G144" s="39"/>
      <c r="H144" s="39"/>
      <c r="I144" s="33"/>
      <c r="J144" s="39"/>
    </row>
    <row r="145">
      <c r="A145" s="8" t="s">
        <v>1</v>
      </c>
      <c r="B145" s="8"/>
      <c r="C145" s="8" t="s">
        <v>2</v>
      </c>
      <c r="D145" s="8" t="s">
        <v>3</v>
      </c>
      <c r="E145" s="8" t="s">
        <v>4</v>
      </c>
      <c r="F145" s="8" t="s">
        <v>5</v>
      </c>
      <c r="G145" s="8" t="s">
        <v>6</v>
      </c>
      <c r="H145" s="8" t="s">
        <v>7</v>
      </c>
      <c r="I145" s="33"/>
      <c r="J145" s="39"/>
    </row>
    <row r="146">
      <c r="A146" s="12" t="s">
        <v>40</v>
      </c>
      <c r="B146" s="13"/>
      <c r="C146" s="13" t="s">
        <v>30</v>
      </c>
      <c r="D146" s="14" t="s">
        <v>86</v>
      </c>
      <c r="E146" s="12" t="s">
        <v>15</v>
      </c>
      <c r="F146" s="13">
        <v>2.0</v>
      </c>
      <c r="G146" s="12"/>
      <c r="H146" s="15">
        <f>PRODUCT(F146:G146)</f>
        <v>2</v>
      </c>
      <c r="I146" s="28" t="s">
        <v>12</v>
      </c>
      <c r="J146" s="42"/>
      <c r="K146" s="18"/>
    </row>
    <row r="147">
      <c r="A147" s="12" t="s">
        <v>19</v>
      </c>
      <c r="B147" s="39"/>
      <c r="C147" s="25" t="s">
        <v>87</v>
      </c>
      <c r="D147" s="14" t="s">
        <v>86</v>
      </c>
      <c r="E147" s="12" t="s">
        <v>15</v>
      </c>
      <c r="F147" s="45">
        <v>0.0</v>
      </c>
      <c r="G147" s="42" t="s">
        <v>16</v>
      </c>
      <c r="H147" s="39"/>
      <c r="I147" s="40" t="s">
        <v>12</v>
      </c>
      <c r="J147" s="39"/>
    </row>
    <row r="148">
      <c r="A148" s="12" t="s">
        <v>19</v>
      </c>
      <c r="B148" s="39"/>
      <c r="C148" s="13" t="s">
        <v>30</v>
      </c>
      <c r="D148" s="14" t="s">
        <v>86</v>
      </c>
      <c r="E148" s="12" t="s">
        <v>15</v>
      </c>
      <c r="F148" s="47">
        <v>3.0</v>
      </c>
      <c r="G148" s="39"/>
      <c r="H148" s="39"/>
      <c r="I148" s="40" t="s">
        <v>12</v>
      </c>
      <c r="J148" s="39"/>
    </row>
    <row r="149">
      <c r="A149" s="42" t="s">
        <v>88</v>
      </c>
      <c r="B149" s="39"/>
      <c r="C149" s="13" t="s">
        <v>89</v>
      </c>
      <c r="D149" s="17" t="s">
        <v>90</v>
      </c>
      <c r="E149" s="12" t="s">
        <v>15</v>
      </c>
      <c r="F149" s="48">
        <v>1.0</v>
      </c>
      <c r="G149" s="39"/>
      <c r="H149" s="39"/>
      <c r="I149" s="40" t="s">
        <v>12</v>
      </c>
      <c r="J149" s="39"/>
    </row>
    <row r="150">
      <c r="A150" s="39"/>
      <c r="B150" s="39"/>
      <c r="C150" s="9"/>
      <c r="D150" s="39"/>
      <c r="E150" s="49" t="s">
        <v>91</v>
      </c>
      <c r="G150" s="39"/>
      <c r="H150" s="39"/>
      <c r="I150" s="33"/>
      <c r="J150" s="39"/>
    </row>
    <row r="151">
      <c r="A151" s="39"/>
      <c r="B151" s="39"/>
      <c r="C151" s="9"/>
      <c r="D151" s="39"/>
      <c r="E151" s="39"/>
      <c r="F151" s="39"/>
      <c r="G151" s="39"/>
      <c r="H151" s="39"/>
      <c r="I151" s="33"/>
      <c r="J151" s="39"/>
    </row>
    <row r="152">
      <c r="A152" s="8" t="s">
        <v>1</v>
      </c>
      <c r="B152" s="8"/>
      <c r="C152" s="8" t="s">
        <v>2</v>
      </c>
      <c r="D152" s="8" t="s">
        <v>3</v>
      </c>
      <c r="E152" s="8" t="s">
        <v>4</v>
      </c>
      <c r="F152" s="8" t="s">
        <v>5</v>
      </c>
      <c r="G152" s="8" t="s">
        <v>6</v>
      </c>
      <c r="H152" s="8" t="s">
        <v>7</v>
      </c>
      <c r="I152" s="33"/>
      <c r="J152" s="39"/>
    </row>
    <row r="153">
      <c r="A153" s="12" t="s">
        <v>19</v>
      </c>
      <c r="B153" s="13"/>
      <c r="C153" s="13" t="s">
        <v>60</v>
      </c>
      <c r="D153" s="14" t="s">
        <v>92</v>
      </c>
      <c r="E153" s="12" t="s">
        <v>15</v>
      </c>
      <c r="F153" s="13">
        <v>1.0</v>
      </c>
      <c r="G153" s="19"/>
      <c r="H153" s="15"/>
      <c r="I153" s="28" t="s">
        <v>12</v>
      </c>
      <c r="J153" s="42"/>
      <c r="K153" s="18"/>
    </row>
    <row r="154">
      <c r="A154" s="39"/>
      <c r="B154" s="39"/>
      <c r="C154" s="9"/>
      <c r="D154" s="39"/>
      <c r="E154" s="39"/>
      <c r="F154" s="39"/>
      <c r="G154" s="39"/>
      <c r="H154" s="39"/>
      <c r="I154" s="33"/>
      <c r="J154" s="39"/>
    </row>
    <row r="155">
      <c r="A155" s="39"/>
      <c r="B155" s="39"/>
      <c r="C155" s="9"/>
      <c r="D155" s="39"/>
      <c r="E155" s="39"/>
      <c r="F155" s="39"/>
      <c r="G155" s="39"/>
      <c r="H155" s="39" t="str">
        <f>SUM(#REF!)</f>
        <v>#REF!</v>
      </c>
      <c r="I155" s="33"/>
      <c r="J155" s="39"/>
    </row>
    <row r="156">
      <c r="A156" s="39"/>
      <c r="B156" s="39"/>
      <c r="C156" s="9"/>
      <c r="D156" s="39"/>
      <c r="E156" s="39"/>
      <c r="F156" s="39"/>
      <c r="G156" s="39"/>
      <c r="H156" s="39"/>
      <c r="I156" s="33"/>
      <c r="J156" s="39"/>
    </row>
    <row r="157">
      <c r="A157" s="50" t="s">
        <v>93</v>
      </c>
      <c r="B157" s="50"/>
      <c r="C157" s="50" t="s">
        <v>16</v>
      </c>
      <c r="D157" s="50" t="s">
        <v>16</v>
      </c>
      <c r="E157" s="50" t="s">
        <v>94</v>
      </c>
      <c r="F157" s="50" t="s">
        <v>95</v>
      </c>
      <c r="G157" s="51"/>
      <c r="H157" s="51"/>
      <c r="I157" s="52"/>
      <c r="J157" s="53"/>
    </row>
    <row r="158">
      <c r="A158" s="9"/>
      <c r="B158" s="9"/>
      <c r="C158" s="9"/>
      <c r="D158" s="9"/>
      <c r="E158" s="9"/>
      <c r="F158" s="9"/>
      <c r="G158" s="9"/>
      <c r="H158" s="9"/>
      <c r="I158" s="33"/>
      <c r="J158" s="39"/>
    </row>
    <row r="159">
      <c r="A159" s="9"/>
      <c r="B159" s="9"/>
      <c r="C159" s="9"/>
      <c r="D159" s="9"/>
      <c r="E159" s="50" t="s">
        <v>96</v>
      </c>
      <c r="G159" s="9"/>
      <c r="H159" s="9"/>
      <c r="I159" s="33"/>
      <c r="J159" s="39"/>
    </row>
    <row r="160">
      <c r="A160" s="9"/>
      <c r="B160" s="9"/>
      <c r="C160" s="9"/>
      <c r="D160" s="9"/>
      <c r="E160" s="9"/>
      <c r="F160" s="9"/>
      <c r="G160" s="9"/>
      <c r="H160" s="9"/>
      <c r="I160" s="33"/>
      <c r="J160" s="39"/>
    </row>
    <row r="161">
      <c r="A161" s="54" t="s">
        <v>1</v>
      </c>
      <c r="B161" s="54"/>
      <c r="C161" s="54" t="s">
        <v>2</v>
      </c>
      <c r="D161" s="54" t="s">
        <v>3</v>
      </c>
      <c r="E161" s="54" t="s">
        <v>4</v>
      </c>
      <c r="F161" s="54" t="s">
        <v>5</v>
      </c>
      <c r="G161" s="54" t="s">
        <v>6</v>
      </c>
      <c r="H161" s="54" t="s">
        <v>7</v>
      </c>
      <c r="I161" s="33"/>
      <c r="J161" s="9"/>
    </row>
    <row r="162">
      <c r="A162" s="12" t="s">
        <v>8</v>
      </c>
      <c r="B162" s="13"/>
      <c r="C162" s="13" t="s">
        <v>97</v>
      </c>
      <c r="D162" s="55" t="s">
        <v>98</v>
      </c>
      <c r="E162" s="12" t="s">
        <v>15</v>
      </c>
      <c r="F162" s="13">
        <v>3.0</v>
      </c>
      <c r="G162" s="12"/>
      <c r="H162" s="15"/>
      <c r="I162" s="16" t="s">
        <v>12</v>
      </c>
      <c r="J162" s="19"/>
      <c r="K162" s="18"/>
    </row>
    <row r="163">
      <c r="A163" s="12" t="s">
        <v>8</v>
      </c>
      <c r="B163" s="13"/>
      <c r="C163" s="13" t="s">
        <v>38</v>
      </c>
      <c r="D163" s="55" t="s">
        <v>98</v>
      </c>
      <c r="E163" s="12" t="s">
        <v>15</v>
      </c>
      <c r="F163" s="13">
        <v>2.0</v>
      </c>
      <c r="G163" s="12"/>
      <c r="H163" s="15"/>
      <c r="I163" s="16" t="s">
        <v>12</v>
      </c>
      <c r="J163" s="19"/>
      <c r="K163" s="18"/>
    </row>
    <row r="164">
      <c r="A164" s="12" t="s">
        <v>8</v>
      </c>
      <c r="B164" s="13"/>
      <c r="C164" s="13" t="s">
        <v>41</v>
      </c>
      <c r="D164" s="55" t="s">
        <v>98</v>
      </c>
      <c r="E164" s="12" t="s">
        <v>15</v>
      </c>
      <c r="F164" s="13">
        <v>1.0</v>
      </c>
      <c r="G164" s="12">
        <v>35.0</v>
      </c>
      <c r="H164" s="15">
        <f t="shared" ref="H164:H168" si="8">PRODUCT(F164:G164)</f>
        <v>35</v>
      </c>
      <c r="I164" s="16" t="s">
        <v>12</v>
      </c>
      <c r="J164" s="19"/>
      <c r="K164" s="18"/>
    </row>
    <row r="165">
      <c r="A165" s="12" t="s">
        <v>8</v>
      </c>
      <c r="C165" s="13" t="s">
        <v>21</v>
      </c>
      <c r="D165" s="55" t="s">
        <v>98</v>
      </c>
      <c r="E165" s="12" t="s">
        <v>15</v>
      </c>
      <c r="F165" s="13">
        <v>2.0</v>
      </c>
      <c r="G165" s="12">
        <v>35.0</v>
      </c>
      <c r="H165" s="15">
        <f t="shared" si="8"/>
        <v>70</v>
      </c>
      <c r="I165" s="16" t="s">
        <v>12</v>
      </c>
      <c r="J165" s="19"/>
      <c r="K165" s="18"/>
    </row>
    <row r="166">
      <c r="A166" s="12" t="s">
        <v>8</v>
      </c>
      <c r="B166" s="13"/>
      <c r="C166" s="13" t="s">
        <v>21</v>
      </c>
      <c r="D166" s="55" t="s">
        <v>98</v>
      </c>
      <c r="E166" s="12" t="s">
        <v>11</v>
      </c>
      <c r="F166" s="13">
        <v>2.0</v>
      </c>
      <c r="G166" s="12">
        <v>35.0</v>
      </c>
      <c r="H166" s="15">
        <f t="shared" si="8"/>
        <v>70</v>
      </c>
      <c r="I166" s="16" t="s">
        <v>12</v>
      </c>
      <c r="J166" s="19"/>
      <c r="K166" s="18"/>
    </row>
    <row r="167">
      <c r="A167" s="12" t="s">
        <v>8</v>
      </c>
      <c r="B167" s="13"/>
      <c r="C167" s="13" t="s">
        <v>47</v>
      </c>
      <c r="D167" s="55" t="s">
        <v>98</v>
      </c>
      <c r="E167" s="12" t="s">
        <v>15</v>
      </c>
      <c r="F167" s="13">
        <v>1.0</v>
      </c>
      <c r="G167" s="12">
        <v>35.0</v>
      </c>
      <c r="H167" s="15">
        <f t="shared" si="8"/>
        <v>35</v>
      </c>
      <c r="I167" s="16" t="s">
        <v>12</v>
      </c>
      <c r="J167" s="19"/>
      <c r="K167" s="18"/>
    </row>
    <row r="168">
      <c r="A168" s="12" t="s">
        <v>8</v>
      </c>
      <c r="B168" s="13"/>
      <c r="C168" s="13" t="s">
        <v>38</v>
      </c>
      <c r="D168" s="55" t="s">
        <v>98</v>
      </c>
      <c r="E168" s="12" t="s">
        <v>15</v>
      </c>
      <c r="F168" s="13">
        <v>1.0</v>
      </c>
      <c r="G168" s="12">
        <v>35.0</v>
      </c>
      <c r="H168" s="15">
        <f t="shared" si="8"/>
        <v>35</v>
      </c>
      <c r="I168" s="16" t="s">
        <v>12</v>
      </c>
      <c r="J168" s="19"/>
      <c r="K168" s="18"/>
    </row>
    <row r="169">
      <c r="A169" s="12" t="s">
        <v>8</v>
      </c>
      <c r="B169" s="13"/>
      <c r="C169" s="19" t="s">
        <v>99</v>
      </c>
      <c r="D169" s="56" t="s">
        <v>98</v>
      </c>
      <c r="E169" s="12" t="s">
        <v>15</v>
      </c>
      <c r="F169" s="19">
        <v>3.0</v>
      </c>
      <c r="G169" s="12"/>
      <c r="H169" s="15"/>
      <c r="I169" s="16" t="s">
        <v>12</v>
      </c>
      <c r="J169" s="19"/>
      <c r="K169" s="18"/>
    </row>
    <row r="170">
      <c r="A170" s="12" t="s">
        <v>8</v>
      </c>
      <c r="B170" s="13"/>
      <c r="C170" s="19" t="s">
        <v>39</v>
      </c>
      <c r="D170" s="56" t="s">
        <v>98</v>
      </c>
      <c r="E170" s="12" t="s">
        <v>15</v>
      </c>
      <c r="F170" s="19">
        <v>5.0</v>
      </c>
      <c r="G170" s="19"/>
      <c r="H170" s="15"/>
      <c r="I170" s="16" t="s">
        <v>12</v>
      </c>
      <c r="J170" s="19"/>
      <c r="K170" s="18"/>
    </row>
    <row r="171">
      <c r="A171" s="12" t="s">
        <v>40</v>
      </c>
      <c r="B171" s="13"/>
      <c r="C171" s="19" t="s">
        <v>17</v>
      </c>
      <c r="D171" s="56" t="s">
        <v>98</v>
      </c>
      <c r="E171" s="12" t="s">
        <v>15</v>
      </c>
      <c r="F171" s="19">
        <v>4.0</v>
      </c>
      <c r="G171" s="19" t="s">
        <v>12</v>
      </c>
      <c r="H171" s="15"/>
      <c r="I171" s="16" t="s">
        <v>12</v>
      </c>
      <c r="J171" s="19"/>
      <c r="K171" s="18"/>
    </row>
    <row r="172">
      <c r="A172" s="12" t="s">
        <v>100</v>
      </c>
      <c r="B172" s="13"/>
      <c r="C172" s="19" t="s">
        <v>97</v>
      </c>
      <c r="D172" s="55" t="s">
        <v>98</v>
      </c>
      <c r="E172" s="12" t="s">
        <v>15</v>
      </c>
      <c r="F172" s="19">
        <v>6.0</v>
      </c>
      <c r="G172" s="19">
        <v>50.0</v>
      </c>
      <c r="H172" s="15">
        <f t="shared" ref="H172:H175" si="9">PRODUCT(F172:G172)</f>
        <v>300</v>
      </c>
      <c r="I172" s="16" t="s">
        <v>12</v>
      </c>
      <c r="J172" s="19"/>
      <c r="K172" s="18"/>
    </row>
    <row r="173">
      <c r="A173" s="12" t="s">
        <v>100</v>
      </c>
      <c r="C173" s="19" t="s">
        <v>101</v>
      </c>
      <c r="D173" s="55" t="s">
        <v>98</v>
      </c>
      <c r="E173" s="12" t="s">
        <v>15</v>
      </c>
      <c r="F173" s="19">
        <v>4.0</v>
      </c>
      <c r="G173" s="19">
        <v>50.0</v>
      </c>
      <c r="H173" s="15">
        <f t="shared" si="9"/>
        <v>200</v>
      </c>
      <c r="I173" s="16" t="s">
        <v>12</v>
      </c>
      <c r="J173" s="19"/>
      <c r="K173" s="18"/>
    </row>
    <row r="174">
      <c r="A174" s="12" t="s">
        <v>100</v>
      </c>
      <c r="B174" s="13"/>
      <c r="C174" s="19" t="s">
        <v>21</v>
      </c>
      <c r="D174" s="55" t="s">
        <v>98</v>
      </c>
      <c r="E174" s="12" t="s">
        <v>11</v>
      </c>
      <c r="F174" s="19">
        <v>2.0</v>
      </c>
      <c r="G174" s="19">
        <v>50.0</v>
      </c>
      <c r="H174" s="15">
        <f t="shared" si="9"/>
        <v>100</v>
      </c>
      <c r="I174" s="16" t="s">
        <v>12</v>
      </c>
      <c r="J174" s="19"/>
      <c r="K174" s="18"/>
    </row>
    <row r="175">
      <c r="A175" s="12" t="s">
        <v>100</v>
      </c>
      <c r="B175" s="13"/>
      <c r="C175" s="19" t="s">
        <v>47</v>
      </c>
      <c r="D175" s="55" t="s">
        <v>98</v>
      </c>
      <c r="E175" s="12" t="s">
        <v>15</v>
      </c>
      <c r="F175" s="19">
        <v>1.0</v>
      </c>
      <c r="G175" s="19">
        <v>50.0</v>
      </c>
      <c r="H175" s="15">
        <f t="shared" si="9"/>
        <v>50</v>
      </c>
      <c r="I175" s="16" t="s">
        <v>12</v>
      </c>
      <c r="J175" s="19"/>
      <c r="K175" s="18"/>
    </row>
    <row r="176">
      <c r="A176" s="12" t="s">
        <v>100</v>
      </c>
      <c r="B176" s="9"/>
      <c r="C176" s="19" t="s">
        <v>14</v>
      </c>
      <c r="D176" s="55" t="s">
        <v>98</v>
      </c>
      <c r="E176" s="12" t="s">
        <v>15</v>
      </c>
      <c r="F176" s="19">
        <v>2.0</v>
      </c>
      <c r="G176" s="19"/>
      <c r="H176" s="19"/>
      <c r="I176" s="16"/>
      <c r="J176" s="19"/>
      <c r="K176" s="18"/>
    </row>
    <row r="177">
      <c r="A177" s="12" t="s">
        <v>100</v>
      </c>
      <c r="B177" s="9"/>
      <c r="C177" s="19" t="s">
        <v>30</v>
      </c>
      <c r="D177" s="55" t="s">
        <v>98</v>
      </c>
      <c r="E177" s="12" t="s">
        <v>15</v>
      </c>
      <c r="F177" s="19">
        <v>3.0</v>
      </c>
      <c r="G177" s="19"/>
      <c r="H177" s="19"/>
      <c r="I177" s="16"/>
      <c r="J177" s="19"/>
      <c r="K177" s="18"/>
    </row>
    <row r="178">
      <c r="A178" s="12" t="s">
        <v>19</v>
      </c>
      <c r="B178" s="9"/>
      <c r="C178" s="25" t="s">
        <v>102</v>
      </c>
      <c r="D178" s="55" t="s">
        <v>98</v>
      </c>
      <c r="E178" s="12" t="s">
        <v>15</v>
      </c>
      <c r="F178" s="25">
        <v>0.0</v>
      </c>
      <c r="G178" s="19">
        <v>60.0</v>
      </c>
      <c r="H178" s="19">
        <v>55.0</v>
      </c>
      <c r="I178" s="16" t="s">
        <v>12</v>
      </c>
      <c r="J178" s="19"/>
      <c r="K178" s="18"/>
    </row>
    <row r="179">
      <c r="A179" s="12" t="s">
        <v>19</v>
      </c>
      <c r="B179" s="9"/>
      <c r="C179" s="19" t="s">
        <v>14</v>
      </c>
      <c r="D179" s="55" t="s">
        <v>98</v>
      </c>
      <c r="E179" s="12" t="s">
        <v>15</v>
      </c>
      <c r="F179" s="27">
        <v>1.0</v>
      </c>
      <c r="G179" s="9"/>
      <c r="H179" s="9"/>
      <c r="I179" s="40" t="s">
        <v>12</v>
      </c>
      <c r="J179" s="9"/>
    </row>
    <row r="180">
      <c r="A180" s="9"/>
      <c r="B180" s="9"/>
      <c r="C180" s="9"/>
      <c r="D180" s="9"/>
      <c r="E180" s="57"/>
      <c r="F180" s="57"/>
      <c r="G180" s="9"/>
      <c r="H180" s="9"/>
      <c r="I180" s="33"/>
      <c r="J180" s="9"/>
    </row>
    <row r="181">
      <c r="A181" s="9"/>
      <c r="B181" s="9"/>
      <c r="C181" s="9"/>
      <c r="D181" s="9"/>
      <c r="E181" s="58" t="s">
        <v>58</v>
      </c>
      <c r="G181" s="9"/>
      <c r="H181" s="9"/>
      <c r="I181" s="33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33"/>
      <c r="J182" s="9"/>
    </row>
    <row r="183">
      <c r="A183" s="54" t="s">
        <v>1</v>
      </c>
      <c r="B183" s="54"/>
      <c r="C183" s="54" t="s">
        <v>2</v>
      </c>
      <c r="D183" s="54" t="s">
        <v>3</v>
      </c>
      <c r="E183" s="54" t="s">
        <v>4</v>
      </c>
      <c r="F183" s="54" t="s">
        <v>5</v>
      </c>
      <c r="G183" s="54" t="s">
        <v>6</v>
      </c>
      <c r="H183" s="54" t="s">
        <v>7</v>
      </c>
      <c r="I183" s="33"/>
      <c r="J183" s="9"/>
    </row>
    <row r="184">
      <c r="A184" s="12" t="s">
        <v>8</v>
      </c>
      <c r="B184" s="13"/>
      <c r="C184" s="19" t="s">
        <v>60</v>
      </c>
      <c r="D184" s="56" t="s">
        <v>103</v>
      </c>
      <c r="E184" s="12" t="s">
        <v>15</v>
      </c>
      <c r="F184" s="19">
        <v>5.0</v>
      </c>
      <c r="G184" s="12">
        <v>0.0</v>
      </c>
      <c r="H184" s="12">
        <v>0.0</v>
      </c>
      <c r="I184" s="16" t="s">
        <v>12</v>
      </c>
      <c r="J184" s="19"/>
      <c r="K184" s="18"/>
    </row>
    <row r="185">
      <c r="A185" s="12" t="s">
        <v>8</v>
      </c>
      <c r="B185" s="13"/>
      <c r="C185" s="19" t="s">
        <v>104</v>
      </c>
      <c r="D185" s="56" t="s">
        <v>103</v>
      </c>
      <c r="E185" s="12" t="s">
        <v>15</v>
      </c>
      <c r="F185" s="19">
        <v>2.0</v>
      </c>
      <c r="G185" s="12"/>
      <c r="H185" s="15"/>
      <c r="I185" s="16" t="s">
        <v>12</v>
      </c>
      <c r="J185" s="42"/>
      <c r="K185" s="18"/>
    </row>
    <row r="186">
      <c r="A186" s="12" t="s">
        <v>8</v>
      </c>
      <c r="B186" s="13"/>
      <c r="C186" s="13" t="s">
        <v>30</v>
      </c>
      <c r="D186" s="56" t="s">
        <v>103</v>
      </c>
      <c r="E186" s="12" t="s">
        <v>15</v>
      </c>
      <c r="F186" s="13">
        <v>12.0</v>
      </c>
      <c r="G186" s="12">
        <v>0.0</v>
      </c>
      <c r="H186" s="15">
        <f>PRODUCT(F186:G186)</f>
        <v>0</v>
      </c>
      <c r="I186" s="16" t="s">
        <v>12</v>
      </c>
      <c r="J186" s="42"/>
      <c r="K186" s="18"/>
    </row>
    <row r="187">
      <c r="A187" s="12" t="s">
        <v>8</v>
      </c>
      <c r="B187" s="13"/>
      <c r="C187" s="19" t="s">
        <v>39</v>
      </c>
      <c r="D187" s="56" t="s">
        <v>103</v>
      </c>
      <c r="E187" s="12" t="s">
        <v>15</v>
      </c>
      <c r="F187" s="19">
        <v>5.0</v>
      </c>
      <c r="G187" s="12"/>
      <c r="H187" s="15"/>
      <c r="I187" s="16" t="s">
        <v>12</v>
      </c>
      <c r="J187" s="42"/>
      <c r="K187" s="18"/>
    </row>
    <row r="188">
      <c r="A188" s="12" t="s">
        <v>40</v>
      </c>
      <c r="C188" s="19" t="s">
        <v>14</v>
      </c>
      <c r="D188" s="56" t="s">
        <v>103</v>
      </c>
      <c r="E188" s="12" t="s">
        <v>15</v>
      </c>
      <c r="F188" s="19">
        <v>1.0</v>
      </c>
      <c r="G188" s="9"/>
      <c r="H188" s="9"/>
      <c r="I188" s="16" t="s">
        <v>12</v>
      </c>
      <c r="J188" s="42"/>
      <c r="K188" s="18"/>
    </row>
    <row r="189">
      <c r="A189" s="12" t="s">
        <v>40</v>
      </c>
      <c r="B189" s="9"/>
      <c r="C189" s="59" t="s">
        <v>30</v>
      </c>
      <c r="D189" s="56" t="s">
        <v>103</v>
      </c>
      <c r="E189" s="12" t="s">
        <v>15</v>
      </c>
      <c r="F189" s="12">
        <v>0.0</v>
      </c>
      <c r="G189" s="9"/>
      <c r="H189" s="9"/>
      <c r="I189" s="16" t="s">
        <v>12</v>
      </c>
      <c r="J189" s="42"/>
    </row>
    <row r="190">
      <c r="A190" s="12" t="s">
        <v>40</v>
      </c>
      <c r="B190" s="9"/>
      <c r="C190" s="25" t="s">
        <v>17</v>
      </c>
      <c r="D190" s="56" t="s">
        <v>103</v>
      </c>
      <c r="E190" s="12" t="s">
        <v>15</v>
      </c>
      <c r="F190" s="26">
        <v>0.0</v>
      </c>
      <c r="G190" s="9"/>
      <c r="H190" s="9"/>
      <c r="I190" s="16" t="s">
        <v>12</v>
      </c>
      <c r="J190" s="42"/>
    </row>
    <row r="191">
      <c r="A191" s="12" t="s">
        <v>100</v>
      </c>
      <c r="B191" s="9"/>
      <c r="C191" s="19" t="s">
        <v>21</v>
      </c>
      <c r="D191" s="56" t="s">
        <v>103</v>
      </c>
      <c r="E191" s="12" t="s">
        <v>15</v>
      </c>
      <c r="F191" s="20">
        <v>1.0</v>
      </c>
      <c r="G191" s="9"/>
      <c r="H191" s="9"/>
      <c r="I191" s="16"/>
      <c r="J191" s="42"/>
      <c r="K191" s="18"/>
    </row>
    <row r="192">
      <c r="A192" s="12" t="s">
        <v>19</v>
      </c>
      <c r="B192" s="9"/>
      <c r="C192" s="19" t="s">
        <v>30</v>
      </c>
      <c r="D192" s="56" t="s">
        <v>103</v>
      </c>
      <c r="E192" s="12" t="s">
        <v>15</v>
      </c>
      <c r="F192" s="20">
        <v>1.0</v>
      </c>
      <c r="G192" s="9"/>
      <c r="H192" s="9"/>
      <c r="I192" s="16" t="s">
        <v>12</v>
      </c>
      <c r="J192" s="42"/>
      <c r="K192" s="18"/>
    </row>
    <row r="193">
      <c r="A193" s="12" t="s">
        <v>19</v>
      </c>
      <c r="B193" s="9"/>
      <c r="C193" s="19" t="s">
        <v>60</v>
      </c>
      <c r="D193" s="56" t="s">
        <v>103</v>
      </c>
      <c r="E193" s="12" t="s">
        <v>15</v>
      </c>
      <c r="F193" s="20">
        <v>1.0</v>
      </c>
      <c r="G193" s="9"/>
      <c r="H193" s="9"/>
      <c r="I193" s="33"/>
      <c r="J193" s="42"/>
    </row>
    <row r="194">
      <c r="A194" s="12" t="s">
        <v>19</v>
      </c>
      <c r="B194" s="9"/>
      <c r="C194" s="19" t="s">
        <v>21</v>
      </c>
      <c r="D194" s="56" t="s">
        <v>103</v>
      </c>
      <c r="E194" s="12" t="s">
        <v>15</v>
      </c>
      <c r="F194" s="20">
        <v>1.0</v>
      </c>
      <c r="G194" s="9"/>
      <c r="H194" s="9"/>
      <c r="I194" s="33"/>
      <c r="J194" s="42"/>
    </row>
    <row r="195">
      <c r="A195" s="12" t="s">
        <v>31</v>
      </c>
      <c r="B195" s="9"/>
      <c r="C195" s="19" t="s">
        <v>17</v>
      </c>
      <c r="D195" s="56" t="s">
        <v>103</v>
      </c>
      <c r="E195" s="12" t="s">
        <v>15</v>
      </c>
      <c r="F195" s="20">
        <v>1.0</v>
      </c>
      <c r="G195" s="9"/>
      <c r="H195" s="9"/>
      <c r="I195" s="33"/>
      <c r="J195" s="42"/>
    </row>
    <row r="196">
      <c r="A196" s="12" t="s">
        <v>31</v>
      </c>
      <c r="B196" s="9"/>
      <c r="C196" s="19" t="s">
        <v>30</v>
      </c>
      <c r="D196" s="56" t="s">
        <v>103</v>
      </c>
      <c r="E196" s="12" t="s">
        <v>15</v>
      </c>
      <c r="F196" s="20">
        <v>1.0</v>
      </c>
      <c r="G196" s="9"/>
      <c r="H196" s="9"/>
      <c r="I196" s="33"/>
      <c r="J196" s="42"/>
    </row>
    <row r="197">
      <c r="A197" s="9"/>
      <c r="B197" s="9"/>
      <c r="C197" s="9"/>
      <c r="D197" s="9"/>
      <c r="E197" s="60"/>
      <c r="F197" s="20"/>
      <c r="G197" s="9"/>
      <c r="H197" s="9"/>
      <c r="I197" s="33"/>
      <c r="J197" s="42"/>
    </row>
    <row r="198">
      <c r="A198" s="9"/>
      <c r="B198" s="9"/>
      <c r="C198" s="9"/>
      <c r="D198" s="9"/>
      <c r="E198" s="58" t="s">
        <v>74</v>
      </c>
      <c r="G198" s="9"/>
      <c r="H198" s="9"/>
      <c r="I198" s="33"/>
      <c r="J198" s="42"/>
    </row>
    <row r="199">
      <c r="A199" s="9"/>
      <c r="B199" s="9"/>
      <c r="C199" s="9"/>
      <c r="D199" s="9"/>
      <c r="E199" s="9"/>
      <c r="F199" s="9"/>
      <c r="G199" s="9"/>
      <c r="H199" s="9"/>
      <c r="I199" s="33"/>
      <c r="J199" s="39"/>
    </row>
    <row r="200">
      <c r="A200" s="54" t="s">
        <v>1</v>
      </c>
      <c r="B200" s="54"/>
      <c r="C200" s="54" t="s">
        <v>2</v>
      </c>
      <c r="D200" s="54" t="s">
        <v>3</v>
      </c>
      <c r="E200" s="54" t="s">
        <v>4</v>
      </c>
      <c r="F200" s="54" t="s">
        <v>5</v>
      </c>
      <c r="G200" s="54" t="s">
        <v>6</v>
      </c>
      <c r="H200" s="54" t="s">
        <v>7</v>
      </c>
      <c r="I200" s="33"/>
      <c r="J200" s="39"/>
    </row>
    <row r="201">
      <c r="A201" s="12" t="s">
        <v>8</v>
      </c>
      <c r="B201" s="13"/>
      <c r="C201" s="13" t="s">
        <v>38</v>
      </c>
      <c r="D201" s="56" t="s">
        <v>75</v>
      </c>
      <c r="E201" s="12" t="s">
        <v>15</v>
      </c>
      <c r="F201" s="13">
        <v>4.0</v>
      </c>
      <c r="G201" s="12"/>
      <c r="H201" s="15"/>
      <c r="I201" s="16" t="s">
        <v>12</v>
      </c>
      <c r="J201" s="42"/>
      <c r="K201" s="18"/>
    </row>
    <row r="202">
      <c r="A202" s="12" t="s">
        <v>8</v>
      </c>
      <c r="B202" s="13"/>
      <c r="C202" s="19" t="s">
        <v>39</v>
      </c>
      <c r="D202" s="56" t="s">
        <v>75</v>
      </c>
      <c r="E202" s="12" t="s">
        <v>15</v>
      </c>
      <c r="F202" s="19">
        <v>3.0</v>
      </c>
      <c r="G202" s="12"/>
      <c r="H202" s="15"/>
      <c r="I202" s="16" t="s">
        <v>12</v>
      </c>
      <c r="J202" s="42"/>
      <c r="K202" s="18"/>
    </row>
    <row r="203">
      <c r="A203" s="12" t="s">
        <v>100</v>
      </c>
      <c r="B203" s="39"/>
      <c r="C203" s="19" t="s">
        <v>76</v>
      </c>
      <c r="D203" s="56" t="s">
        <v>75</v>
      </c>
      <c r="E203" s="20" t="s">
        <v>15</v>
      </c>
      <c r="F203" s="20">
        <v>1.0</v>
      </c>
      <c r="G203" s="39"/>
      <c r="H203" s="39"/>
      <c r="I203" s="16" t="s">
        <v>12</v>
      </c>
      <c r="J203" s="42"/>
      <c r="K203" s="18"/>
    </row>
    <row r="204">
      <c r="A204" s="12" t="s">
        <v>100</v>
      </c>
      <c r="B204" s="39"/>
      <c r="C204" s="19" t="s">
        <v>17</v>
      </c>
      <c r="D204" s="56" t="s">
        <v>75</v>
      </c>
      <c r="E204" s="12" t="s">
        <v>15</v>
      </c>
      <c r="F204" s="20">
        <v>0.0</v>
      </c>
      <c r="G204" s="39"/>
      <c r="H204" s="39"/>
      <c r="I204" s="40" t="s">
        <v>12</v>
      </c>
      <c r="J204" s="42"/>
      <c r="K204" s="18"/>
    </row>
    <row r="205">
      <c r="A205" s="12" t="s">
        <v>100</v>
      </c>
      <c r="B205" s="39"/>
      <c r="C205" s="19" t="s">
        <v>33</v>
      </c>
      <c r="D205" s="56" t="s">
        <v>75</v>
      </c>
      <c r="E205" s="12" t="s">
        <v>15</v>
      </c>
      <c r="F205" s="27">
        <v>1.0</v>
      </c>
      <c r="G205" s="39"/>
      <c r="H205" s="39"/>
      <c r="I205" s="33"/>
      <c r="J205" s="42"/>
    </row>
    <row r="206">
      <c r="A206" s="12" t="s">
        <v>19</v>
      </c>
      <c r="B206" s="39"/>
      <c r="C206" s="19" t="s">
        <v>21</v>
      </c>
      <c r="D206" s="56" t="s">
        <v>75</v>
      </c>
      <c r="E206" s="12" t="s">
        <v>15</v>
      </c>
      <c r="F206" s="27">
        <v>1.0</v>
      </c>
      <c r="G206" s="39"/>
      <c r="H206" s="39"/>
      <c r="I206" s="33"/>
      <c r="J206" s="42"/>
    </row>
    <row r="207">
      <c r="A207" s="12" t="s">
        <v>19</v>
      </c>
      <c r="B207" s="39"/>
      <c r="C207" s="19" t="s">
        <v>14</v>
      </c>
      <c r="D207" s="56" t="s">
        <v>75</v>
      </c>
      <c r="E207" s="12" t="s">
        <v>15</v>
      </c>
      <c r="F207" s="27">
        <v>1.0</v>
      </c>
      <c r="G207" s="39"/>
      <c r="H207" s="39"/>
      <c r="I207" s="33"/>
      <c r="J207" s="42"/>
    </row>
    <row r="208">
      <c r="A208" s="12" t="s">
        <v>19</v>
      </c>
      <c r="B208" s="39"/>
      <c r="C208" s="19" t="s">
        <v>38</v>
      </c>
      <c r="D208" s="56" t="s">
        <v>75</v>
      </c>
      <c r="E208" s="12" t="s">
        <v>15</v>
      </c>
      <c r="F208" s="27">
        <v>1.0</v>
      </c>
      <c r="G208" s="39"/>
      <c r="H208" s="39"/>
      <c r="I208" s="33"/>
      <c r="J208" s="42"/>
    </row>
    <row r="209">
      <c r="A209" s="12" t="s">
        <v>31</v>
      </c>
      <c r="B209" s="39"/>
      <c r="C209" s="19" t="s">
        <v>17</v>
      </c>
      <c r="D209" s="56" t="s">
        <v>75</v>
      </c>
      <c r="E209" s="12" t="s">
        <v>15</v>
      </c>
      <c r="F209" s="27">
        <v>1.0</v>
      </c>
      <c r="G209" s="39"/>
      <c r="H209" s="39"/>
      <c r="I209" s="33"/>
      <c r="J209" s="42"/>
    </row>
    <row r="210">
      <c r="A210" s="12" t="s">
        <v>31</v>
      </c>
      <c r="B210" s="39"/>
      <c r="C210" s="19" t="s">
        <v>30</v>
      </c>
      <c r="D210" s="56" t="s">
        <v>75</v>
      </c>
      <c r="E210" s="12" t="s">
        <v>15</v>
      </c>
      <c r="F210" s="27">
        <v>1.0</v>
      </c>
      <c r="G210" s="39"/>
      <c r="H210" s="39"/>
      <c r="I210" s="33"/>
      <c r="J210" s="42"/>
    </row>
    <row r="211">
      <c r="A211" s="39"/>
      <c r="B211" s="39"/>
      <c r="C211" s="9"/>
      <c r="D211" s="39"/>
      <c r="E211" s="57"/>
      <c r="F211" s="57"/>
      <c r="G211" s="39"/>
      <c r="H211" s="39"/>
      <c r="I211" s="33"/>
      <c r="J211" s="42"/>
    </row>
    <row r="212">
      <c r="A212" s="39"/>
      <c r="B212" s="39"/>
      <c r="C212" s="9"/>
      <c r="D212" s="39"/>
      <c r="E212" s="58" t="s">
        <v>85</v>
      </c>
      <c r="G212" s="39"/>
      <c r="H212" s="39">
        <f>SUM(H201:H202)</f>
        <v>0</v>
      </c>
      <c r="I212" s="33"/>
      <c r="J212" s="42"/>
    </row>
    <row r="213">
      <c r="A213" s="39"/>
      <c r="B213" s="39"/>
      <c r="C213" s="9"/>
      <c r="D213" s="39"/>
      <c r="E213" s="39"/>
      <c r="F213" s="39"/>
      <c r="G213" s="39"/>
      <c r="H213" s="39"/>
      <c r="I213" s="33"/>
      <c r="J213" s="39"/>
    </row>
    <row r="214">
      <c r="A214" s="54" t="s">
        <v>1</v>
      </c>
      <c r="B214" s="54"/>
      <c r="C214" s="54" t="s">
        <v>2</v>
      </c>
      <c r="D214" s="54" t="s">
        <v>3</v>
      </c>
      <c r="E214" s="54" t="s">
        <v>4</v>
      </c>
      <c r="F214" s="54" t="s">
        <v>5</v>
      </c>
      <c r="G214" s="54" t="s">
        <v>6</v>
      </c>
      <c r="H214" s="54" t="s">
        <v>7</v>
      </c>
      <c r="I214" s="33"/>
      <c r="J214" s="42"/>
    </row>
    <row r="215">
      <c r="A215" s="12" t="s">
        <v>100</v>
      </c>
      <c r="B215" s="13"/>
      <c r="C215" s="13" t="s">
        <v>105</v>
      </c>
      <c r="D215" s="56" t="s">
        <v>86</v>
      </c>
      <c r="E215" s="12" t="s">
        <v>15</v>
      </c>
      <c r="F215" s="13">
        <v>1.0</v>
      </c>
      <c r="G215" s="12"/>
      <c r="H215" s="15"/>
      <c r="I215" s="16" t="s">
        <v>12</v>
      </c>
      <c r="J215" s="42"/>
      <c r="K215" s="18"/>
    </row>
    <row r="216">
      <c r="A216" s="12" t="s">
        <v>100</v>
      </c>
      <c r="B216" s="13"/>
      <c r="C216" s="25" t="s">
        <v>106</v>
      </c>
      <c r="D216" s="56" t="s">
        <v>86</v>
      </c>
      <c r="E216" s="12" t="s">
        <v>15</v>
      </c>
      <c r="F216" s="25">
        <v>0.0</v>
      </c>
      <c r="G216" s="12"/>
      <c r="H216" s="15"/>
      <c r="I216" s="16" t="s">
        <v>12</v>
      </c>
      <c r="J216" s="42"/>
      <c r="K216" s="18"/>
    </row>
    <row r="217">
      <c r="A217" s="12" t="s">
        <v>100</v>
      </c>
      <c r="B217" s="13"/>
      <c r="C217" s="13" t="s">
        <v>21</v>
      </c>
      <c r="D217" s="56" t="s">
        <v>86</v>
      </c>
      <c r="E217" s="12" t="s">
        <v>11</v>
      </c>
      <c r="F217" s="13">
        <v>2.0</v>
      </c>
      <c r="G217" s="12">
        <v>40.0</v>
      </c>
      <c r="H217" s="15">
        <f t="shared" ref="H217:H218" si="10">PRODUCT(F217:G217)</f>
        <v>80</v>
      </c>
      <c r="I217" s="16" t="s">
        <v>12</v>
      </c>
      <c r="J217" s="42"/>
      <c r="K217" s="18"/>
    </row>
    <row r="218">
      <c r="A218" s="12" t="s">
        <v>40</v>
      </c>
      <c r="B218" s="13"/>
      <c r="C218" s="13" t="s">
        <v>39</v>
      </c>
      <c r="D218" s="56" t="s">
        <v>86</v>
      </c>
      <c r="E218" s="12" t="s">
        <v>15</v>
      </c>
      <c r="F218" s="13">
        <v>1.0</v>
      </c>
      <c r="G218" s="61">
        <v>50.0</v>
      </c>
      <c r="H218" s="15">
        <f t="shared" si="10"/>
        <v>50</v>
      </c>
      <c r="I218" s="16" t="s">
        <v>12</v>
      </c>
      <c r="J218" s="42"/>
      <c r="K218" s="18"/>
    </row>
    <row r="219">
      <c r="A219" s="39"/>
      <c r="B219" s="39"/>
      <c r="C219" s="9"/>
      <c r="D219" s="39"/>
      <c r="E219" s="58" t="s">
        <v>91</v>
      </c>
      <c r="G219" s="39"/>
      <c r="H219" s="39">
        <f>SUM(H215:H218)</f>
        <v>130</v>
      </c>
      <c r="I219" s="33"/>
      <c r="J219" s="39"/>
    </row>
    <row r="220">
      <c r="A220" s="39"/>
      <c r="B220" s="39"/>
      <c r="C220" s="9"/>
      <c r="D220" s="39"/>
      <c r="E220" s="39"/>
      <c r="F220" s="39"/>
      <c r="G220" s="39"/>
      <c r="H220" s="39"/>
      <c r="I220" s="33"/>
      <c r="J220" s="39"/>
    </row>
    <row r="221">
      <c r="A221" s="54" t="s">
        <v>1</v>
      </c>
      <c r="B221" s="54"/>
      <c r="C221" s="54" t="s">
        <v>2</v>
      </c>
      <c r="D221" s="54" t="s">
        <v>3</v>
      </c>
      <c r="E221" s="54" t="s">
        <v>4</v>
      </c>
      <c r="F221" s="54" t="s">
        <v>5</v>
      </c>
      <c r="G221" s="54" t="s">
        <v>6</v>
      </c>
      <c r="H221" s="54" t="s">
        <v>7</v>
      </c>
      <c r="I221" s="33"/>
      <c r="J221" s="42"/>
    </row>
    <row r="222">
      <c r="A222" s="12" t="s">
        <v>8</v>
      </c>
      <c r="B222" s="13"/>
      <c r="C222" s="13" t="s">
        <v>77</v>
      </c>
      <c r="D222" s="56" t="s">
        <v>92</v>
      </c>
      <c r="E222" s="12" t="s">
        <v>15</v>
      </c>
      <c r="F222" s="13">
        <v>1.0</v>
      </c>
      <c r="G222" s="61">
        <v>30.0</v>
      </c>
      <c r="H222" s="15">
        <f>PRODUCT(F222:G222)</f>
        <v>30</v>
      </c>
      <c r="I222" s="16" t="s">
        <v>12</v>
      </c>
      <c r="J222" s="42"/>
    </row>
    <row r="223">
      <c r="A223" s="12" t="s">
        <v>8</v>
      </c>
      <c r="B223" s="39"/>
      <c r="C223" s="19" t="s">
        <v>38</v>
      </c>
      <c r="D223" s="56" t="s">
        <v>92</v>
      </c>
      <c r="E223" s="12" t="s">
        <v>11</v>
      </c>
      <c r="F223" s="42">
        <v>1.0</v>
      </c>
      <c r="G223" s="39"/>
      <c r="H223" s="39"/>
      <c r="I223" s="16" t="s">
        <v>12</v>
      </c>
      <c r="J223" s="42"/>
    </row>
    <row r="224">
      <c r="A224" s="12" t="s">
        <v>40</v>
      </c>
      <c r="B224" s="42"/>
      <c r="C224" s="19" t="s">
        <v>107</v>
      </c>
      <c r="D224" s="56" t="s">
        <v>92</v>
      </c>
      <c r="E224" s="12" t="s">
        <v>15</v>
      </c>
      <c r="F224" s="42">
        <v>1.0</v>
      </c>
      <c r="G224" s="39"/>
      <c r="H224" s="62"/>
      <c r="I224" s="62" t="s">
        <v>12</v>
      </c>
      <c r="J224" s="63"/>
      <c r="K224" s="64"/>
      <c r="L224" s="64"/>
    </row>
    <row r="225">
      <c r="A225" s="39"/>
      <c r="B225" s="42"/>
      <c r="C225" s="19"/>
      <c r="D225" s="42"/>
      <c r="E225" s="42"/>
      <c r="F225" s="39"/>
      <c r="G225" s="39"/>
      <c r="H225" s="65"/>
      <c r="I225" s="65"/>
      <c r="J225" s="62"/>
      <c r="K225" s="66"/>
      <c r="L225" s="66"/>
    </row>
    <row r="226">
      <c r="A226" s="39"/>
      <c r="B226" s="42"/>
      <c r="C226" s="19"/>
      <c r="D226" s="42"/>
      <c r="E226" s="42"/>
      <c r="F226" s="39"/>
      <c r="G226" s="39"/>
      <c r="H226" s="62"/>
      <c r="I226" s="62"/>
      <c r="J226" s="67"/>
      <c r="K226" s="64" t="s">
        <v>108</v>
      </c>
      <c r="L226" s="68"/>
    </row>
    <row r="227">
      <c r="A227" s="39"/>
      <c r="B227" s="42"/>
      <c r="C227" s="19"/>
      <c r="D227" s="42"/>
      <c r="E227" s="42"/>
      <c r="F227" s="39"/>
      <c r="G227" s="39"/>
      <c r="H227" s="39"/>
      <c r="I227" s="39"/>
      <c r="J227" s="42"/>
      <c r="K227" s="69" t="s">
        <v>109</v>
      </c>
      <c r="L227" s="69" t="s">
        <v>110</v>
      </c>
      <c r="M227" s="69" t="s">
        <v>111</v>
      </c>
    </row>
    <row r="228">
      <c r="A228" s="39"/>
      <c r="B228" s="39"/>
      <c r="C228" s="9"/>
      <c r="D228" s="39"/>
      <c r="E228" s="39"/>
      <c r="F228" s="39"/>
      <c r="G228" s="39"/>
      <c r="H228" s="39"/>
      <c r="I228" s="39"/>
      <c r="J228" s="42"/>
      <c r="K228" s="18" t="s">
        <v>112</v>
      </c>
      <c r="L228" s="69" t="s">
        <v>113</v>
      </c>
    </row>
    <row r="229">
      <c r="A229" s="39"/>
      <c r="B229" s="42"/>
      <c r="C229" s="19"/>
      <c r="D229" s="70"/>
      <c r="E229" s="19"/>
      <c r="F229" s="39"/>
      <c r="G229" s="39"/>
      <c r="H229" s="39"/>
      <c r="I229" s="39"/>
      <c r="J229" s="42"/>
      <c r="K229" s="69" t="s">
        <v>114</v>
      </c>
      <c r="L229" s="69" t="s">
        <v>115</v>
      </c>
    </row>
    <row r="230">
      <c r="A230" s="39"/>
      <c r="B230" s="39"/>
      <c r="C230" s="9"/>
      <c r="D230" s="39"/>
      <c r="E230" s="39"/>
      <c r="F230" s="39"/>
      <c r="G230" s="39"/>
      <c r="H230" s="39"/>
      <c r="I230" s="39"/>
      <c r="J230" s="42"/>
      <c r="K230" s="69" t="s">
        <v>116</v>
      </c>
      <c r="L230" s="69" t="s">
        <v>117</v>
      </c>
    </row>
    <row r="231">
      <c r="A231" s="39"/>
      <c r="B231" s="39"/>
      <c r="C231" s="9"/>
      <c r="D231" s="39"/>
      <c r="E231" s="39"/>
      <c r="F231" s="39"/>
      <c r="G231" s="39"/>
      <c r="H231" s="39"/>
      <c r="I231" s="39"/>
      <c r="J231" s="42"/>
      <c r="K231" s="69" t="s">
        <v>118</v>
      </c>
      <c r="L231" s="69" t="s">
        <v>119</v>
      </c>
    </row>
    <row r="232">
      <c r="A232" s="39"/>
      <c r="B232" s="39"/>
      <c r="C232" s="9"/>
      <c r="D232" s="39"/>
      <c r="E232" s="39"/>
      <c r="F232" s="39"/>
      <c r="G232" s="39"/>
      <c r="H232" s="39"/>
      <c r="I232" s="39"/>
      <c r="J232" s="42"/>
      <c r="K232" s="69" t="s">
        <v>120</v>
      </c>
      <c r="L232" s="69" t="s">
        <v>121</v>
      </c>
    </row>
    <row r="233">
      <c r="A233" s="39"/>
      <c r="B233" s="39"/>
      <c r="C233" s="9"/>
      <c r="D233" s="39"/>
      <c r="E233" s="39"/>
      <c r="F233" s="39"/>
      <c r="G233" s="39"/>
      <c r="H233" s="39"/>
      <c r="I233" s="39"/>
      <c r="J233" s="42"/>
    </row>
    <row r="234">
      <c r="A234" s="39"/>
      <c r="B234" s="39"/>
      <c r="C234" s="9"/>
      <c r="D234" s="39"/>
      <c r="E234" s="39"/>
      <c r="F234" s="39"/>
      <c r="G234" s="39"/>
      <c r="H234" s="39"/>
      <c r="I234" s="39"/>
      <c r="J234" s="42"/>
    </row>
    <row r="235">
      <c r="A235" s="39"/>
      <c r="B235" s="39"/>
      <c r="C235" s="9"/>
      <c r="D235" s="39"/>
      <c r="E235" s="39"/>
      <c r="F235" s="39"/>
      <c r="G235" s="39"/>
      <c r="H235" s="39"/>
      <c r="I235" s="39"/>
      <c r="J235" s="42"/>
    </row>
    <row r="236">
      <c r="A236" s="39"/>
      <c r="B236" s="42"/>
      <c r="C236" s="19"/>
      <c r="D236" s="70"/>
      <c r="E236" s="39"/>
      <c r="F236" s="39"/>
      <c r="G236" s="39"/>
      <c r="H236" s="39"/>
      <c r="I236" s="39"/>
      <c r="J236" s="42"/>
    </row>
    <row r="237">
      <c r="A237" s="39"/>
      <c r="B237" s="39"/>
      <c r="C237" s="9"/>
      <c r="D237" s="39"/>
      <c r="E237" s="39"/>
      <c r="F237" s="39"/>
      <c r="G237" s="39"/>
      <c r="H237" s="39"/>
      <c r="I237" s="39"/>
      <c r="J237" s="42"/>
    </row>
    <row r="238">
      <c r="A238" s="39"/>
      <c r="B238" s="39"/>
      <c r="C238" s="9"/>
      <c r="D238" s="39"/>
      <c r="E238" s="39"/>
      <c r="F238" s="39"/>
      <c r="G238" s="39"/>
      <c r="H238" s="39"/>
      <c r="I238" s="39"/>
      <c r="J238" s="39"/>
    </row>
    <row r="239">
      <c r="A239" s="39"/>
      <c r="B239" s="39"/>
      <c r="C239" s="9"/>
      <c r="D239" s="39"/>
      <c r="E239" s="39"/>
      <c r="F239" s="39"/>
      <c r="G239" s="39"/>
      <c r="H239" s="39"/>
      <c r="I239" s="39"/>
      <c r="J239" s="39"/>
    </row>
    <row r="240">
      <c r="A240" s="39"/>
      <c r="B240" s="39"/>
      <c r="C240" s="9"/>
      <c r="D240" s="39"/>
      <c r="E240" s="39"/>
      <c r="F240" s="39"/>
      <c r="G240" s="39"/>
      <c r="H240" s="39"/>
      <c r="I240" s="39"/>
      <c r="J240" s="39"/>
    </row>
    <row r="241">
      <c r="A241" s="39"/>
      <c r="B241" s="39"/>
      <c r="C241" s="9"/>
      <c r="D241" s="39"/>
      <c r="E241" s="39"/>
      <c r="F241" s="39"/>
      <c r="G241" s="39"/>
      <c r="H241" s="39"/>
      <c r="I241" s="39"/>
      <c r="J241" s="39"/>
    </row>
    <row r="242">
      <c r="A242" s="39"/>
      <c r="B242" s="39"/>
      <c r="C242" s="9"/>
      <c r="D242" s="39"/>
      <c r="E242" s="39"/>
      <c r="F242" s="39"/>
      <c r="G242" s="39"/>
      <c r="H242" s="39"/>
      <c r="I242" s="39"/>
      <c r="J242" s="39"/>
    </row>
    <row r="243">
      <c r="A243" s="39"/>
      <c r="B243" s="39"/>
      <c r="C243" s="9"/>
      <c r="D243" s="39"/>
      <c r="E243" s="39"/>
      <c r="F243" s="39"/>
      <c r="G243" s="39"/>
      <c r="H243" s="39"/>
      <c r="I243" s="39"/>
      <c r="J243" s="39"/>
    </row>
    <row r="244">
      <c r="A244" s="39"/>
      <c r="B244" s="39"/>
      <c r="C244" s="9"/>
      <c r="D244" s="39"/>
      <c r="E244" s="39"/>
      <c r="F244" s="39"/>
      <c r="G244" s="39"/>
      <c r="H244" s="39"/>
      <c r="I244" s="39"/>
      <c r="J244" s="39"/>
    </row>
    <row r="245">
      <c r="A245" s="39"/>
      <c r="B245" s="39"/>
      <c r="C245" s="9"/>
      <c r="D245" s="39"/>
      <c r="E245" s="39"/>
      <c r="F245" s="39"/>
      <c r="G245" s="39"/>
      <c r="H245" s="39"/>
      <c r="I245" s="39"/>
      <c r="J245" s="39"/>
    </row>
    <row r="246">
      <c r="A246" s="39"/>
      <c r="B246" s="39"/>
      <c r="C246" s="9"/>
      <c r="D246" s="39"/>
      <c r="E246" s="39"/>
      <c r="F246" s="39"/>
      <c r="G246" s="39"/>
      <c r="H246" s="39"/>
      <c r="I246" s="39"/>
      <c r="J246" s="39"/>
    </row>
    <row r="247">
      <c r="A247" s="39"/>
      <c r="B247" s="39"/>
      <c r="C247" s="9"/>
      <c r="D247" s="39"/>
      <c r="E247" s="39"/>
      <c r="F247" s="39"/>
      <c r="G247" s="39"/>
      <c r="H247" s="39"/>
      <c r="I247" s="39"/>
      <c r="J247" s="39"/>
    </row>
    <row r="248">
      <c r="A248" s="39"/>
      <c r="B248" s="39"/>
      <c r="C248" s="9"/>
      <c r="D248" s="39"/>
      <c r="E248" s="39"/>
      <c r="F248" s="39"/>
      <c r="G248" s="39"/>
      <c r="H248" s="39"/>
      <c r="I248" s="39"/>
      <c r="J248" s="39"/>
    </row>
    <row r="249">
      <c r="A249" s="39"/>
      <c r="B249" s="39"/>
      <c r="C249" s="9"/>
      <c r="D249" s="39"/>
      <c r="E249" s="39"/>
      <c r="F249" s="39"/>
      <c r="G249" s="39"/>
      <c r="H249" s="39"/>
      <c r="I249" s="39"/>
      <c r="J249" s="39"/>
    </row>
    <row r="250">
      <c r="A250" s="39"/>
      <c r="B250" s="39"/>
      <c r="C250" s="9"/>
      <c r="D250" s="39"/>
      <c r="E250" s="39"/>
      <c r="F250" s="39"/>
      <c r="G250" s="39"/>
      <c r="H250" s="39"/>
      <c r="I250" s="39"/>
      <c r="J250" s="39"/>
    </row>
    <row r="251">
      <c r="A251" s="39"/>
      <c r="B251" s="39"/>
      <c r="C251" s="9"/>
      <c r="D251" s="39"/>
      <c r="E251" s="39"/>
      <c r="F251" s="39"/>
      <c r="G251" s="39"/>
      <c r="H251" s="39"/>
      <c r="I251" s="39"/>
      <c r="J251" s="39"/>
    </row>
    <row r="252">
      <c r="A252" s="39"/>
      <c r="B252" s="39"/>
      <c r="C252" s="9"/>
      <c r="D252" s="39"/>
      <c r="E252" s="39"/>
      <c r="F252" s="39"/>
      <c r="G252" s="39"/>
      <c r="H252" s="39"/>
      <c r="I252" s="39"/>
      <c r="J252" s="39"/>
    </row>
    <row r="253">
      <c r="A253" s="39"/>
      <c r="B253" s="39"/>
      <c r="C253" s="9"/>
      <c r="D253" s="39"/>
      <c r="E253" s="39"/>
      <c r="F253" s="39"/>
      <c r="G253" s="39"/>
      <c r="H253" s="39"/>
      <c r="I253" s="39"/>
      <c r="J253" s="39"/>
    </row>
    <row r="254">
      <c r="A254" s="39"/>
      <c r="B254" s="39"/>
      <c r="C254" s="9"/>
      <c r="D254" s="39"/>
      <c r="E254" s="39"/>
      <c r="F254" s="39"/>
      <c r="G254" s="39"/>
      <c r="H254" s="39"/>
      <c r="I254" s="39"/>
      <c r="J254" s="39"/>
    </row>
    <row r="255">
      <c r="A255" s="39"/>
      <c r="B255" s="39"/>
      <c r="C255" s="9"/>
      <c r="D255" s="39"/>
      <c r="E255" s="39"/>
      <c r="F255" s="39"/>
      <c r="G255" s="39"/>
      <c r="H255" s="39"/>
      <c r="I255" s="39"/>
      <c r="J255" s="39"/>
    </row>
    <row r="256">
      <c r="A256" s="39"/>
      <c r="B256" s="39"/>
      <c r="C256" s="9"/>
      <c r="D256" s="39"/>
      <c r="E256" s="39"/>
      <c r="F256" s="39"/>
      <c r="G256" s="39"/>
      <c r="H256" s="39"/>
      <c r="I256" s="39"/>
      <c r="J256" s="39"/>
    </row>
    <row r="257">
      <c r="A257" s="39"/>
      <c r="B257" s="39"/>
      <c r="C257" s="9"/>
      <c r="D257" s="39"/>
      <c r="E257" s="39"/>
      <c r="F257" s="39"/>
      <c r="G257" s="39"/>
      <c r="H257" s="39"/>
      <c r="I257" s="39"/>
      <c r="J257" s="39"/>
    </row>
    <row r="258">
      <c r="A258" s="39"/>
      <c r="B258" s="39"/>
      <c r="C258" s="9"/>
      <c r="D258" s="39"/>
      <c r="E258" s="39"/>
      <c r="F258" s="39"/>
      <c r="G258" s="39"/>
      <c r="H258" s="39"/>
      <c r="I258" s="39"/>
      <c r="J258" s="39"/>
    </row>
    <row r="259">
      <c r="A259" s="39"/>
      <c r="B259" s="39"/>
      <c r="C259" s="9"/>
      <c r="D259" s="39"/>
      <c r="E259" s="39"/>
      <c r="F259" s="39"/>
      <c r="G259" s="39"/>
      <c r="H259" s="39"/>
      <c r="I259" s="39"/>
      <c r="J259" s="39"/>
    </row>
    <row r="260">
      <c r="A260" s="39"/>
      <c r="B260" s="39"/>
      <c r="C260" s="9"/>
      <c r="D260" s="39"/>
      <c r="E260" s="39"/>
      <c r="F260" s="39"/>
      <c r="G260" s="39"/>
      <c r="H260" s="39"/>
      <c r="I260" s="39"/>
      <c r="J260" s="39"/>
    </row>
    <row r="261">
      <c r="A261" s="39"/>
      <c r="B261" s="39"/>
      <c r="C261" s="9"/>
      <c r="D261" s="39"/>
      <c r="E261" s="39"/>
      <c r="F261" s="39"/>
      <c r="G261" s="39"/>
      <c r="H261" s="39"/>
      <c r="I261" s="39"/>
      <c r="J261" s="39"/>
    </row>
    <row r="262">
      <c r="A262" s="39"/>
      <c r="B262" s="39"/>
      <c r="C262" s="9"/>
      <c r="D262" s="39"/>
      <c r="E262" s="39"/>
      <c r="F262" s="39"/>
      <c r="G262" s="39"/>
      <c r="H262" s="39"/>
      <c r="I262" s="39"/>
      <c r="J262" s="39"/>
    </row>
    <row r="263">
      <c r="A263" s="39"/>
      <c r="B263" s="39"/>
      <c r="C263" s="9"/>
      <c r="D263" s="39"/>
      <c r="E263" s="39"/>
      <c r="F263" s="39"/>
      <c r="G263" s="39"/>
      <c r="H263" s="39"/>
      <c r="I263" s="39"/>
      <c r="J263" s="39"/>
    </row>
    <row r="264">
      <c r="A264" s="39"/>
      <c r="B264" s="39"/>
      <c r="C264" s="9"/>
      <c r="D264" s="39"/>
      <c r="E264" s="39"/>
      <c r="F264" s="39"/>
      <c r="G264" s="39"/>
      <c r="H264" s="39"/>
      <c r="I264" s="39"/>
      <c r="J264" s="39"/>
    </row>
    <row r="265">
      <c r="A265" s="39"/>
      <c r="B265" s="39"/>
      <c r="C265" s="9"/>
      <c r="D265" s="39"/>
      <c r="E265" s="39"/>
      <c r="F265" s="39"/>
      <c r="G265" s="39"/>
      <c r="H265" s="39"/>
      <c r="I265" s="39"/>
      <c r="J265" s="39"/>
    </row>
    <row r="266">
      <c r="A266" s="39"/>
      <c r="B266" s="39"/>
      <c r="C266" s="9"/>
      <c r="D266" s="39"/>
      <c r="E266" s="39"/>
      <c r="F266" s="39"/>
      <c r="G266" s="39"/>
      <c r="H266" s="39"/>
      <c r="I266" s="39"/>
      <c r="J266" s="39"/>
    </row>
    <row r="267">
      <c r="A267" s="39"/>
      <c r="B267" s="39"/>
      <c r="C267" s="9"/>
      <c r="D267" s="39"/>
      <c r="E267" s="39"/>
      <c r="F267" s="39"/>
      <c r="G267" s="39"/>
      <c r="H267" s="39"/>
      <c r="I267" s="39"/>
      <c r="J267" s="39"/>
    </row>
    <row r="268">
      <c r="A268" s="39"/>
      <c r="B268" s="39"/>
      <c r="C268" s="9"/>
      <c r="D268" s="39"/>
      <c r="E268" s="39"/>
      <c r="F268" s="39"/>
      <c r="G268" s="39"/>
      <c r="H268" s="39"/>
      <c r="I268" s="39"/>
      <c r="J268" s="39"/>
    </row>
    <row r="269">
      <c r="A269" s="39"/>
      <c r="B269" s="39"/>
      <c r="C269" s="9"/>
      <c r="D269" s="39"/>
      <c r="E269" s="39"/>
      <c r="F269" s="39"/>
      <c r="G269" s="39"/>
      <c r="H269" s="39"/>
      <c r="I269" s="39"/>
      <c r="J269" s="39"/>
    </row>
    <row r="270">
      <c r="A270" s="39"/>
      <c r="B270" s="39"/>
      <c r="C270" s="9"/>
      <c r="D270" s="39"/>
      <c r="E270" s="39"/>
      <c r="F270" s="39"/>
      <c r="G270" s="39"/>
      <c r="H270" s="39"/>
      <c r="I270" s="39"/>
      <c r="J270" s="39"/>
    </row>
    <row r="271">
      <c r="A271" s="39"/>
      <c r="B271" s="39"/>
      <c r="C271" s="9"/>
      <c r="D271" s="39"/>
      <c r="E271" s="39"/>
      <c r="F271" s="39"/>
      <c r="G271" s="39"/>
      <c r="H271" s="39"/>
      <c r="I271" s="39"/>
      <c r="J271" s="39"/>
    </row>
    <row r="272">
      <c r="A272" s="39"/>
      <c r="B272" s="39"/>
      <c r="C272" s="9"/>
      <c r="D272" s="39"/>
      <c r="E272" s="39"/>
      <c r="F272" s="39"/>
      <c r="G272" s="39"/>
      <c r="H272" s="39"/>
      <c r="I272" s="39"/>
      <c r="J272" s="39"/>
    </row>
    <row r="273">
      <c r="A273" s="39"/>
      <c r="B273" s="39"/>
      <c r="C273" s="9"/>
      <c r="D273" s="39"/>
      <c r="E273" s="39"/>
      <c r="F273" s="39"/>
      <c r="G273" s="39"/>
      <c r="H273" s="39"/>
      <c r="I273" s="39"/>
      <c r="J273" s="39"/>
    </row>
    <row r="274">
      <c r="A274" s="39"/>
      <c r="B274" s="39"/>
      <c r="C274" s="9"/>
      <c r="D274" s="39"/>
      <c r="E274" s="39"/>
      <c r="F274" s="39"/>
      <c r="G274" s="39"/>
      <c r="H274" s="39"/>
      <c r="I274" s="39"/>
      <c r="J274" s="39"/>
    </row>
    <row r="275">
      <c r="A275" s="39"/>
      <c r="B275" s="39"/>
      <c r="C275" s="9"/>
      <c r="D275" s="39"/>
      <c r="E275" s="39"/>
      <c r="F275" s="39"/>
      <c r="G275" s="39"/>
      <c r="H275" s="39"/>
      <c r="I275" s="39"/>
      <c r="J275" s="39"/>
    </row>
    <row r="276">
      <c r="A276" s="39"/>
      <c r="B276" s="39"/>
      <c r="C276" s="9"/>
      <c r="D276" s="39"/>
      <c r="E276" s="39"/>
      <c r="F276" s="39"/>
      <c r="G276" s="39"/>
      <c r="H276" s="39"/>
      <c r="I276" s="39"/>
      <c r="J276" s="39"/>
    </row>
    <row r="277">
      <c r="A277" s="39"/>
      <c r="B277" s="39"/>
      <c r="C277" s="9"/>
      <c r="D277" s="39"/>
      <c r="E277" s="39"/>
      <c r="F277" s="39"/>
      <c r="G277" s="39"/>
      <c r="H277" s="39"/>
      <c r="I277" s="39"/>
      <c r="J277" s="39"/>
    </row>
    <row r="278">
      <c r="A278" s="39"/>
      <c r="B278" s="39"/>
      <c r="C278" s="9"/>
      <c r="D278" s="39"/>
      <c r="E278" s="39"/>
      <c r="F278" s="39"/>
      <c r="G278" s="39"/>
      <c r="H278" s="39"/>
      <c r="I278" s="39"/>
      <c r="J278" s="39"/>
    </row>
    <row r="279">
      <c r="A279" s="39"/>
      <c r="B279" s="39"/>
      <c r="C279" s="9"/>
      <c r="D279" s="39"/>
      <c r="E279" s="39"/>
      <c r="F279" s="39"/>
      <c r="G279" s="39"/>
      <c r="H279" s="39"/>
      <c r="I279" s="39"/>
      <c r="J279" s="39"/>
    </row>
    <row r="280">
      <c r="A280" s="39"/>
      <c r="B280" s="39"/>
      <c r="C280" s="9"/>
      <c r="D280" s="39"/>
      <c r="E280" s="39"/>
      <c r="F280" s="39"/>
      <c r="G280" s="39"/>
      <c r="H280" s="39"/>
      <c r="I280" s="39"/>
      <c r="J280" s="39"/>
    </row>
    <row r="281">
      <c r="A281" s="39"/>
      <c r="B281" s="39"/>
      <c r="C281" s="9"/>
      <c r="D281" s="39"/>
      <c r="E281" s="39"/>
      <c r="F281" s="39"/>
      <c r="G281" s="39"/>
      <c r="H281" s="39"/>
      <c r="I281" s="39"/>
      <c r="J281" s="39"/>
    </row>
    <row r="282">
      <c r="A282" s="39"/>
      <c r="B282" s="39"/>
      <c r="C282" s="9"/>
      <c r="D282" s="39"/>
      <c r="E282" s="39"/>
      <c r="F282" s="39"/>
      <c r="G282" s="39"/>
      <c r="H282" s="39"/>
      <c r="I282" s="39"/>
      <c r="J282" s="39"/>
    </row>
    <row r="283">
      <c r="A283" s="39"/>
      <c r="B283" s="39"/>
      <c r="C283" s="9"/>
      <c r="D283" s="39"/>
      <c r="E283" s="39"/>
      <c r="F283" s="39"/>
      <c r="G283" s="39"/>
      <c r="H283" s="39"/>
      <c r="I283" s="39"/>
      <c r="J283" s="39"/>
    </row>
    <row r="284">
      <c r="A284" s="39"/>
      <c r="B284" s="39"/>
      <c r="C284" s="9"/>
      <c r="D284" s="39"/>
      <c r="E284" s="39"/>
      <c r="F284" s="39"/>
      <c r="G284" s="39"/>
      <c r="H284" s="39"/>
      <c r="I284" s="39"/>
      <c r="J284" s="39"/>
    </row>
    <row r="285">
      <c r="A285" s="39"/>
      <c r="B285" s="39"/>
      <c r="C285" s="9"/>
      <c r="D285" s="39"/>
      <c r="E285" s="39"/>
      <c r="F285" s="39"/>
      <c r="G285" s="39"/>
      <c r="H285" s="39"/>
      <c r="I285" s="39"/>
      <c r="J285" s="39"/>
    </row>
    <row r="286">
      <c r="A286" s="39"/>
      <c r="B286" s="39"/>
      <c r="C286" s="9"/>
      <c r="D286" s="39"/>
      <c r="E286" s="39"/>
      <c r="F286" s="39"/>
      <c r="G286" s="39"/>
      <c r="H286" s="39"/>
      <c r="I286" s="39"/>
      <c r="J286" s="39"/>
    </row>
    <row r="287">
      <c r="A287" s="39"/>
      <c r="B287" s="39"/>
      <c r="C287" s="9"/>
      <c r="D287" s="39"/>
      <c r="E287" s="39"/>
      <c r="F287" s="39"/>
      <c r="G287" s="39"/>
      <c r="H287" s="39"/>
      <c r="I287" s="39"/>
      <c r="J287" s="39"/>
    </row>
    <row r="288">
      <c r="A288" s="39"/>
      <c r="B288" s="39"/>
      <c r="C288" s="9"/>
      <c r="D288" s="39"/>
      <c r="E288" s="39"/>
      <c r="F288" s="39"/>
      <c r="G288" s="39"/>
      <c r="H288" s="39"/>
      <c r="I288" s="39"/>
      <c r="J288" s="39"/>
    </row>
    <row r="289">
      <c r="A289" s="39"/>
      <c r="B289" s="39"/>
      <c r="C289" s="9"/>
      <c r="D289" s="39"/>
      <c r="E289" s="39"/>
      <c r="F289" s="39"/>
      <c r="G289" s="39"/>
      <c r="H289" s="39"/>
      <c r="I289" s="39"/>
      <c r="J289" s="39"/>
    </row>
    <row r="290">
      <c r="A290" s="39"/>
      <c r="B290" s="39"/>
      <c r="C290" s="9"/>
      <c r="D290" s="39"/>
      <c r="E290" s="39"/>
      <c r="F290" s="39"/>
      <c r="G290" s="39"/>
      <c r="H290" s="39"/>
      <c r="I290" s="39"/>
      <c r="J290" s="39"/>
    </row>
    <row r="291">
      <c r="A291" s="39"/>
      <c r="B291" s="39"/>
      <c r="C291" s="9"/>
      <c r="D291" s="39"/>
      <c r="E291" s="39"/>
      <c r="F291" s="39"/>
      <c r="G291" s="39"/>
      <c r="H291" s="39"/>
      <c r="I291" s="39"/>
    </row>
    <row r="292">
      <c r="A292" s="39"/>
      <c r="B292" s="39"/>
      <c r="C292" s="9"/>
      <c r="D292" s="39"/>
      <c r="E292" s="39"/>
      <c r="F292" s="39"/>
      <c r="G292" s="39"/>
      <c r="H292" s="39"/>
      <c r="I292" s="39"/>
    </row>
    <row r="293">
      <c r="A293" s="39"/>
      <c r="B293" s="39"/>
      <c r="C293" s="9"/>
      <c r="D293" s="39"/>
      <c r="E293" s="39"/>
      <c r="F293" s="39"/>
      <c r="G293" s="39"/>
      <c r="H293" s="39"/>
      <c r="I293" s="39"/>
    </row>
    <row r="294">
      <c r="A294" s="39"/>
      <c r="B294" s="39"/>
      <c r="C294" s="9"/>
      <c r="D294" s="39"/>
      <c r="E294" s="39"/>
      <c r="F294" s="39"/>
      <c r="G294" s="39"/>
      <c r="H294" s="39"/>
      <c r="I294" s="39"/>
    </row>
    <row r="295">
      <c r="A295" s="39"/>
      <c r="B295" s="39"/>
      <c r="C295" s="9"/>
      <c r="D295" s="39"/>
      <c r="E295" s="39"/>
      <c r="F295" s="39"/>
      <c r="G295" s="39"/>
      <c r="H295" s="39"/>
      <c r="I295" s="39"/>
    </row>
    <row r="296">
      <c r="A296" s="39"/>
      <c r="B296" s="39"/>
      <c r="C296" s="9"/>
      <c r="D296" s="39"/>
      <c r="E296" s="39"/>
      <c r="F296" s="39"/>
      <c r="G296" s="39"/>
      <c r="H296" s="39"/>
      <c r="I296" s="39"/>
    </row>
    <row r="297">
      <c r="A297" s="39"/>
      <c r="B297" s="39"/>
      <c r="C297" s="9"/>
      <c r="D297" s="39"/>
      <c r="E297" s="39"/>
      <c r="F297" s="39"/>
      <c r="G297" s="39"/>
      <c r="H297" s="39"/>
      <c r="I297" s="39"/>
    </row>
    <row r="298">
      <c r="A298" s="39"/>
      <c r="B298" s="39"/>
      <c r="C298" s="9"/>
      <c r="D298" s="39"/>
      <c r="E298" s="39"/>
      <c r="F298" s="39"/>
      <c r="G298" s="39"/>
      <c r="H298" s="39"/>
      <c r="I298" s="39"/>
    </row>
    <row r="299">
      <c r="A299" s="39"/>
      <c r="B299" s="39"/>
      <c r="C299" s="9"/>
      <c r="D299" s="39"/>
      <c r="E299" s="39"/>
      <c r="F299" s="39"/>
      <c r="G299" s="39"/>
      <c r="H299" s="39"/>
      <c r="I299" s="39"/>
    </row>
    <row r="300">
      <c r="A300" s="39"/>
      <c r="B300" s="39"/>
      <c r="C300" s="9"/>
      <c r="D300" s="39"/>
      <c r="E300" s="39"/>
      <c r="F300" s="39"/>
      <c r="G300" s="39"/>
      <c r="H300" s="39"/>
      <c r="I300" s="39"/>
    </row>
    <row r="301">
      <c r="A301" s="39"/>
      <c r="B301" s="39"/>
      <c r="C301" s="9"/>
      <c r="D301" s="39"/>
      <c r="E301" s="39"/>
      <c r="F301" s="39"/>
      <c r="G301" s="39"/>
      <c r="H301" s="39"/>
      <c r="I301" s="39"/>
    </row>
    <row r="302">
      <c r="A302" s="39"/>
      <c r="B302" s="39"/>
      <c r="C302" s="9"/>
      <c r="D302" s="39"/>
      <c r="E302" s="39"/>
      <c r="F302" s="39"/>
      <c r="G302" s="39"/>
      <c r="H302" s="39"/>
      <c r="I302" s="39"/>
    </row>
    <row r="303">
      <c r="A303" s="39"/>
      <c r="B303" s="39"/>
      <c r="C303" s="9"/>
      <c r="D303" s="39"/>
      <c r="E303" s="39"/>
      <c r="F303" s="39"/>
      <c r="G303" s="39"/>
      <c r="H303" s="39"/>
      <c r="I303" s="39"/>
    </row>
    <row r="304">
      <c r="A304" s="39"/>
      <c r="B304" s="39"/>
      <c r="C304" s="9"/>
      <c r="D304" s="39"/>
      <c r="E304" s="39"/>
      <c r="F304" s="39"/>
      <c r="G304" s="39"/>
      <c r="H304" s="39"/>
      <c r="I304" s="39"/>
    </row>
    <row r="305">
      <c r="A305" s="39"/>
      <c r="B305" s="39"/>
      <c r="C305" s="9"/>
      <c r="D305" s="39"/>
      <c r="E305" s="39"/>
      <c r="F305" s="39"/>
      <c r="G305" s="39"/>
      <c r="H305" s="39"/>
      <c r="I305" s="39"/>
    </row>
    <row r="306">
      <c r="A306" s="39"/>
      <c r="B306" s="39"/>
      <c r="C306" s="9"/>
      <c r="D306" s="39"/>
      <c r="E306" s="39"/>
      <c r="F306" s="39"/>
      <c r="G306" s="39"/>
      <c r="H306" s="39"/>
      <c r="I306" s="39"/>
    </row>
    <row r="307">
      <c r="C307" s="71"/>
    </row>
    <row r="308">
      <c r="C308" s="71"/>
    </row>
    <row r="309">
      <c r="C309" s="71"/>
    </row>
    <row r="310">
      <c r="C310" s="71"/>
    </row>
    <row r="311">
      <c r="C311" s="71"/>
    </row>
    <row r="312">
      <c r="C312" s="71"/>
    </row>
    <row r="313">
      <c r="C313" s="71"/>
    </row>
    <row r="314">
      <c r="C314" s="71"/>
    </row>
    <row r="315">
      <c r="C315" s="71"/>
    </row>
    <row r="316">
      <c r="C316" s="71"/>
    </row>
    <row r="317">
      <c r="C317" s="71"/>
    </row>
    <row r="318">
      <c r="C318" s="71"/>
    </row>
    <row r="319">
      <c r="C319" s="71"/>
    </row>
    <row r="320">
      <c r="C320" s="71"/>
    </row>
    <row r="321">
      <c r="C321" s="71"/>
    </row>
    <row r="322">
      <c r="C322" s="71"/>
    </row>
    <row r="323">
      <c r="C323" s="71"/>
    </row>
    <row r="324">
      <c r="C324" s="71"/>
    </row>
    <row r="325">
      <c r="C325" s="71"/>
    </row>
    <row r="326">
      <c r="C326" s="71"/>
    </row>
    <row r="327">
      <c r="C327" s="71"/>
    </row>
    <row r="328">
      <c r="C328" s="71"/>
    </row>
    <row r="329">
      <c r="C329" s="71"/>
    </row>
    <row r="330">
      <c r="C330" s="71"/>
    </row>
    <row r="331">
      <c r="C331" s="71"/>
    </row>
    <row r="332">
      <c r="C332" s="71"/>
    </row>
    <row r="333">
      <c r="C333" s="71"/>
    </row>
    <row r="334">
      <c r="C334" s="71"/>
    </row>
    <row r="335">
      <c r="C335" s="71"/>
    </row>
    <row r="336">
      <c r="C336" s="71"/>
    </row>
    <row r="337">
      <c r="C337" s="71"/>
    </row>
    <row r="338">
      <c r="C338" s="71"/>
    </row>
    <row r="339">
      <c r="C339" s="71"/>
    </row>
    <row r="340">
      <c r="C340" s="71"/>
    </row>
    <row r="341">
      <c r="C341" s="71"/>
    </row>
    <row r="342">
      <c r="C342" s="71"/>
    </row>
    <row r="343">
      <c r="C343" s="71"/>
    </row>
    <row r="344">
      <c r="C344" s="71"/>
    </row>
    <row r="345">
      <c r="C345" s="71"/>
    </row>
    <row r="346">
      <c r="C346" s="71"/>
    </row>
    <row r="347">
      <c r="C347" s="71"/>
    </row>
    <row r="348">
      <c r="C348" s="71"/>
    </row>
    <row r="349">
      <c r="C349" s="71"/>
    </row>
    <row r="350">
      <c r="C350" s="71"/>
    </row>
    <row r="351">
      <c r="C351" s="71"/>
    </row>
    <row r="352">
      <c r="C352" s="71"/>
    </row>
    <row r="353">
      <c r="C353" s="71"/>
    </row>
    <row r="354">
      <c r="C354" s="71"/>
    </row>
    <row r="355">
      <c r="C355" s="71"/>
    </row>
    <row r="356">
      <c r="C356" s="71"/>
    </row>
    <row r="357">
      <c r="C357" s="71"/>
    </row>
    <row r="358">
      <c r="C358" s="71"/>
    </row>
    <row r="359">
      <c r="C359" s="71"/>
    </row>
    <row r="360">
      <c r="C360" s="71"/>
    </row>
    <row r="361">
      <c r="C361" s="71"/>
    </row>
    <row r="362">
      <c r="C362" s="71"/>
    </row>
    <row r="363">
      <c r="C363" s="71"/>
    </row>
    <row r="364">
      <c r="C364" s="71"/>
    </row>
    <row r="365">
      <c r="C365" s="71"/>
    </row>
    <row r="366">
      <c r="C366" s="71"/>
    </row>
    <row r="367">
      <c r="C367" s="71"/>
    </row>
    <row r="368">
      <c r="C368" s="71"/>
    </row>
    <row r="369">
      <c r="C369" s="71"/>
    </row>
    <row r="370">
      <c r="C370" s="71"/>
    </row>
    <row r="371">
      <c r="C371" s="71"/>
    </row>
    <row r="372">
      <c r="C372" s="71"/>
    </row>
    <row r="373">
      <c r="C373" s="71"/>
    </row>
    <row r="374">
      <c r="C374" s="71"/>
    </row>
    <row r="375">
      <c r="C375" s="71"/>
    </row>
    <row r="376">
      <c r="C376" s="71"/>
    </row>
    <row r="377">
      <c r="C377" s="71"/>
    </row>
    <row r="378">
      <c r="C378" s="71"/>
    </row>
    <row r="379">
      <c r="C379" s="71"/>
    </row>
    <row r="380">
      <c r="C380" s="71"/>
    </row>
    <row r="381">
      <c r="C381" s="71"/>
    </row>
    <row r="382">
      <c r="C382" s="71"/>
    </row>
    <row r="383">
      <c r="C383" s="71"/>
    </row>
    <row r="384">
      <c r="C384" s="71"/>
    </row>
    <row r="385">
      <c r="C385" s="71"/>
    </row>
    <row r="386">
      <c r="C386" s="71"/>
    </row>
    <row r="387">
      <c r="C387" s="71"/>
    </row>
    <row r="388">
      <c r="C388" s="71"/>
    </row>
    <row r="389">
      <c r="C389" s="71"/>
    </row>
    <row r="390">
      <c r="C390" s="71"/>
    </row>
    <row r="391">
      <c r="C391" s="71"/>
    </row>
    <row r="392">
      <c r="C392" s="71"/>
    </row>
    <row r="393">
      <c r="C393" s="71"/>
    </row>
    <row r="394">
      <c r="C394" s="71"/>
    </row>
    <row r="395">
      <c r="C395" s="71"/>
    </row>
    <row r="396">
      <c r="C396" s="71"/>
    </row>
    <row r="397">
      <c r="C397" s="71"/>
    </row>
    <row r="398">
      <c r="C398" s="71"/>
    </row>
    <row r="399">
      <c r="C399" s="71"/>
    </row>
    <row r="400">
      <c r="C400" s="71"/>
    </row>
    <row r="401">
      <c r="C401" s="71"/>
    </row>
    <row r="402">
      <c r="C402" s="71"/>
    </row>
    <row r="403">
      <c r="C403" s="71"/>
    </row>
    <row r="404">
      <c r="C404" s="71"/>
    </row>
    <row r="405">
      <c r="C405" s="71"/>
    </row>
    <row r="406">
      <c r="C406" s="71"/>
    </row>
    <row r="407">
      <c r="C407" s="71"/>
    </row>
    <row r="408">
      <c r="C408" s="71"/>
    </row>
    <row r="409">
      <c r="C409" s="71"/>
    </row>
    <row r="410">
      <c r="C410" s="71"/>
    </row>
    <row r="411">
      <c r="C411" s="71"/>
    </row>
    <row r="412">
      <c r="C412" s="71"/>
    </row>
    <row r="413">
      <c r="C413" s="71"/>
    </row>
    <row r="414">
      <c r="C414" s="71"/>
    </row>
    <row r="415">
      <c r="C415" s="71"/>
    </row>
    <row r="416">
      <c r="C416" s="71"/>
    </row>
    <row r="417">
      <c r="C417" s="71"/>
    </row>
    <row r="418">
      <c r="C418" s="71"/>
    </row>
    <row r="419">
      <c r="C419" s="71"/>
    </row>
    <row r="420">
      <c r="C420" s="71"/>
    </row>
    <row r="421">
      <c r="C421" s="71"/>
    </row>
    <row r="422">
      <c r="C422" s="71"/>
    </row>
    <row r="423">
      <c r="C423" s="71"/>
    </row>
    <row r="424">
      <c r="C424" s="71"/>
    </row>
    <row r="425">
      <c r="C425" s="71"/>
    </row>
    <row r="426">
      <c r="C426" s="71"/>
    </row>
    <row r="427">
      <c r="C427" s="71"/>
    </row>
    <row r="428">
      <c r="C428" s="71"/>
    </row>
    <row r="429">
      <c r="C429" s="71"/>
    </row>
    <row r="430">
      <c r="C430" s="71"/>
    </row>
    <row r="431">
      <c r="C431" s="71"/>
    </row>
    <row r="432">
      <c r="C432" s="71"/>
    </row>
    <row r="433">
      <c r="C433" s="71"/>
    </row>
    <row r="434">
      <c r="C434" s="71"/>
    </row>
    <row r="435">
      <c r="C435" s="71"/>
    </row>
    <row r="436">
      <c r="C436" s="71"/>
    </row>
    <row r="437">
      <c r="C437" s="71"/>
    </row>
    <row r="438">
      <c r="C438" s="71"/>
    </row>
    <row r="439">
      <c r="C439" s="71"/>
    </row>
    <row r="440">
      <c r="C440" s="71"/>
    </row>
    <row r="441">
      <c r="C441" s="71"/>
    </row>
    <row r="442">
      <c r="C442" s="71"/>
    </row>
    <row r="443">
      <c r="C443" s="71"/>
    </row>
    <row r="444">
      <c r="C444" s="71"/>
    </row>
    <row r="445">
      <c r="C445" s="71"/>
    </row>
    <row r="446">
      <c r="C446" s="71"/>
    </row>
    <row r="447">
      <c r="C447" s="71"/>
    </row>
    <row r="448">
      <c r="C448" s="71"/>
    </row>
    <row r="449">
      <c r="C449" s="71"/>
    </row>
    <row r="450">
      <c r="C450" s="71"/>
    </row>
    <row r="451">
      <c r="C451" s="71"/>
    </row>
    <row r="452">
      <c r="C452" s="71"/>
    </row>
    <row r="453">
      <c r="C453" s="71"/>
    </row>
    <row r="454">
      <c r="C454" s="71"/>
    </row>
    <row r="455">
      <c r="C455" s="71"/>
    </row>
    <row r="456">
      <c r="C456" s="71"/>
    </row>
    <row r="457">
      <c r="C457" s="71"/>
    </row>
    <row r="458">
      <c r="C458" s="71"/>
    </row>
    <row r="459">
      <c r="C459" s="71"/>
    </row>
    <row r="460">
      <c r="C460" s="71"/>
    </row>
    <row r="461">
      <c r="C461" s="71"/>
    </row>
    <row r="462">
      <c r="C462" s="71"/>
    </row>
    <row r="463">
      <c r="C463" s="71"/>
    </row>
    <row r="464">
      <c r="C464" s="71"/>
    </row>
    <row r="465">
      <c r="C465" s="71"/>
    </row>
    <row r="466">
      <c r="C466" s="71"/>
    </row>
    <row r="467">
      <c r="C467" s="71"/>
    </row>
    <row r="468">
      <c r="C468" s="71"/>
    </row>
    <row r="469">
      <c r="C469" s="71"/>
    </row>
    <row r="470">
      <c r="C470" s="71"/>
    </row>
    <row r="471">
      <c r="C471" s="71"/>
    </row>
    <row r="472">
      <c r="C472" s="71"/>
    </row>
    <row r="473">
      <c r="C473" s="71"/>
    </row>
    <row r="474">
      <c r="C474" s="71"/>
    </row>
    <row r="475">
      <c r="C475" s="71"/>
    </row>
    <row r="476">
      <c r="C476" s="71"/>
    </row>
    <row r="477">
      <c r="C477" s="71"/>
    </row>
    <row r="478">
      <c r="C478" s="71"/>
    </row>
    <row r="479">
      <c r="C479" s="71"/>
    </row>
    <row r="480">
      <c r="C480" s="71"/>
    </row>
    <row r="481">
      <c r="C481" s="71"/>
    </row>
    <row r="482">
      <c r="C482" s="71"/>
    </row>
    <row r="483">
      <c r="C483" s="71"/>
    </row>
    <row r="484">
      <c r="C484" s="71"/>
    </row>
    <row r="485">
      <c r="C485" s="71"/>
    </row>
    <row r="486">
      <c r="C486" s="71"/>
    </row>
    <row r="487">
      <c r="C487" s="71"/>
    </row>
    <row r="488">
      <c r="C488" s="71"/>
    </row>
    <row r="489">
      <c r="C489" s="71"/>
    </row>
    <row r="490">
      <c r="C490" s="71"/>
    </row>
    <row r="491">
      <c r="C491" s="71"/>
    </row>
    <row r="492">
      <c r="C492" s="71"/>
    </row>
    <row r="493">
      <c r="C493" s="71"/>
    </row>
    <row r="494">
      <c r="C494" s="71"/>
    </row>
    <row r="495">
      <c r="C495" s="71"/>
    </row>
    <row r="496">
      <c r="C496" s="71"/>
    </row>
    <row r="497">
      <c r="C497" s="71"/>
    </row>
    <row r="498">
      <c r="C498" s="71"/>
    </row>
    <row r="499">
      <c r="C499" s="71"/>
    </row>
    <row r="500">
      <c r="C500" s="71"/>
    </row>
    <row r="501">
      <c r="C501" s="71"/>
    </row>
    <row r="502">
      <c r="C502" s="71"/>
    </row>
    <row r="503">
      <c r="C503" s="71"/>
    </row>
    <row r="504">
      <c r="C504" s="71"/>
    </row>
    <row r="505">
      <c r="C505" s="71"/>
    </row>
    <row r="506">
      <c r="C506" s="71"/>
    </row>
    <row r="507">
      <c r="C507" s="71"/>
    </row>
    <row r="508">
      <c r="C508" s="71"/>
    </row>
    <row r="509">
      <c r="C509" s="71"/>
    </row>
    <row r="510">
      <c r="C510" s="71"/>
    </row>
    <row r="511">
      <c r="C511" s="71"/>
    </row>
    <row r="512">
      <c r="C512" s="71"/>
    </row>
    <row r="513">
      <c r="C513" s="71"/>
    </row>
    <row r="514">
      <c r="C514" s="71"/>
    </row>
    <row r="515">
      <c r="C515" s="71"/>
    </row>
    <row r="516">
      <c r="C516" s="71"/>
    </row>
    <row r="517">
      <c r="C517" s="71"/>
    </row>
    <row r="518">
      <c r="C518" s="71"/>
    </row>
    <row r="519">
      <c r="C519" s="71"/>
    </row>
    <row r="520">
      <c r="C520" s="71"/>
    </row>
    <row r="521">
      <c r="C521" s="71"/>
    </row>
    <row r="522">
      <c r="C522" s="71"/>
    </row>
    <row r="523">
      <c r="C523" s="71"/>
    </row>
    <row r="524">
      <c r="C524" s="71"/>
    </row>
    <row r="525">
      <c r="C525" s="71"/>
    </row>
    <row r="526">
      <c r="C526" s="71"/>
    </row>
    <row r="527">
      <c r="C527" s="71"/>
    </row>
    <row r="528">
      <c r="C528" s="71"/>
    </row>
    <row r="529">
      <c r="C529" s="71"/>
    </row>
    <row r="530">
      <c r="C530" s="71"/>
    </row>
    <row r="531">
      <c r="C531" s="71"/>
    </row>
    <row r="532">
      <c r="C532" s="71"/>
    </row>
    <row r="533">
      <c r="C533" s="71"/>
    </row>
    <row r="534">
      <c r="C534" s="71"/>
    </row>
    <row r="535">
      <c r="C535" s="71"/>
    </row>
    <row r="536">
      <c r="C536" s="71"/>
    </row>
    <row r="537">
      <c r="C537" s="71"/>
    </row>
    <row r="538">
      <c r="C538" s="71"/>
    </row>
    <row r="539">
      <c r="C539" s="71"/>
    </row>
    <row r="540">
      <c r="C540" s="71"/>
    </row>
    <row r="541">
      <c r="C541" s="71"/>
    </row>
    <row r="542">
      <c r="C542" s="71"/>
    </row>
    <row r="543">
      <c r="C543" s="71"/>
    </row>
    <row r="544">
      <c r="C544" s="71"/>
    </row>
    <row r="545">
      <c r="C545" s="71"/>
    </row>
    <row r="546">
      <c r="C546" s="71"/>
    </row>
    <row r="547">
      <c r="C547" s="71"/>
    </row>
    <row r="548">
      <c r="C548" s="71"/>
    </row>
    <row r="549">
      <c r="C549" s="71"/>
    </row>
    <row r="550">
      <c r="C550" s="71"/>
    </row>
    <row r="551">
      <c r="C551" s="71"/>
    </row>
    <row r="552">
      <c r="C552" s="71"/>
    </row>
    <row r="553">
      <c r="C553" s="71"/>
    </row>
    <row r="554">
      <c r="C554" s="71"/>
    </row>
    <row r="555">
      <c r="C555" s="71"/>
    </row>
    <row r="556">
      <c r="C556" s="71"/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C599" s="71"/>
    </row>
    <row r="600">
      <c r="C600" s="71"/>
    </row>
    <row r="601">
      <c r="C601" s="71"/>
    </row>
    <row r="602">
      <c r="C602" s="71"/>
    </row>
    <row r="603">
      <c r="C603" s="71"/>
    </row>
    <row r="604">
      <c r="C604" s="71"/>
    </row>
    <row r="605">
      <c r="C605" s="71"/>
    </row>
    <row r="606">
      <c r="C606" s="71"/>
    </row>
    <row r="607">
      <c r="C607" s="71"/>
    </row>
    <row r="608">
      <c r="C608" s="71"/>
    </row>
    <row r="609">
      <c r="C609" s="71"/>
    </row>
    <row r="610">
      <c r="C610" s="71"/>
    </row>
    <row r="611">
      <c r="C611" s="71"/>
    </row>
    <row r="612">
      <c r="C612" s="71"/>
    </row>
    <row r="613">
      <c r="C613" s="71"/>
    </row>
    <row r="614">
      <c r="C614" s="71"/>
    </row>
    <row r="615">
      <c r="C615" s="71"/>
    </row>
    <row r="616">
      <c r="C616" s="71"/>
    </row>
    <row r="617">
      <c r="C617" s="71"/>
    </row>
    <row r="618">
      <c r="C618" s="71"/>
    </row>
    <row r="619">
      <c r="C619" s="71"/>
    </row>
    <row r="620">
      <c r="C620" s="71"/>
    </row>
    <row r="621">
      <c r="C621" s="71"/>
    </row>
    <row r="622">
      <c r="C622" s="71"/>
    </row>
    <row r="623">
      <c r="C623" s="71"/>
    </row>
    <row r="624">
      <c r="C624" s="71"/>
    </row>
    <row r="625">
      <c r="C625" s="71"/>
    </row>
    <row r="626">
      <c r="C626" s="71"/>
    </row>
    <row r="627">
      <c r="C627" s="71"/>
    </row>
    <row r="628">
      <c r="C628" s="71"/>
    </row>
    <row r="629">
      <c r="C629" s="71"/>
    </row>
    <row r="630">
      <c r="C630" s="71"/>
    </row>
    <row r="631">
      <c r="C631" s="71"/>
    </row>
    <row r="632">
      <c r="C632" s="71"/>
    </row>
    <row r="633">
      <c r="C633" s="71"/>
    </row>
    <row r="634">
      <c r="C634" s="71"/>
    </row>
    <row r="635">
      <c r="C635" s="71"/>
    </row>
    <row r="636">
      <c r="C636" s="71"/>
    </row>
    <row r="637">
      <c r="C637" s="71"/>
    </row>
    <row r="638">
      <c r="C638" s="71"/>
    </row>
    <row r="639">
      <c r="C639" s="71"/>
    </row>
    <row r="640">
      <c r="C640" s="71"/>
    </row>
    <row r="641">
      <c r="C641" s="71"/>
    </row>
    <row r="642">
      <c r="C642" s="71"/>
    </row>
    <row r="643">
      <c r="C643" s="71"/>
    </row>
    <row r="644">
      <c r="C644" s="71"/>
    </row>
    <row r="645">
      <c r="C645" s="71"/>
    </row>
    <row r="646">
      <c r="C646" s="71"/>
    </row>
    <row r="647">
      <c r="C647" s="71"/>
    </row>
    <row r="648">
      <c r="C648" s="71"/>
    </row>
    <row r="649">
      <c r="C649" s="71"/>
    </row>
    <row r="650">
      <c r="C650" s="71"/>
    </row>
    <row r="651">
      <c r="C651" s="71"/>
    </row>
    <row r="652">
      <c r="C652" s="71"/>
    </row>
    <row r="653">
      <c r="C653" s="71"/>
    </row>
    <row r="654">
      <c r="C654" s="71"/>
    </row>
    <row r="655">
      <c r="C655" s="71"/>
    </row>
    <row r="656">
      <c r="C656" s="71"/>
    </row>
    <row r="657">
      <c r="C657" s="71"/>
    </row>
    <row r="658">
      <c r="C658" s="71"/>
    </row>
    <row r="659">
      <c r="C659" s="71"/>
    </row>
    <row r="660">
      <c r="C660" s="71"/>
    </row>
    <row r="661">
      <c r="C661" s="71"/>
    </row>
    <row r="662">
      <c r="C662" s="71"/>
    </row>
    <row r="663">
      <c r="C663" s="71"/>
    </row>
    <row r="664">
      <c r="C664" s="71"/>
    </row>
    <row r="665">
      <c r="C665" s="71"/>
    </row>
    <row r="666">
      <c r="C666" s="71"/>
    </row>
    <row r="667">
      <c r="C667" s="71"/>
    </row>
    <row r="668">
      <c r="C668" s="71"/>
    </row>
    <row r="669">
      <c r="C669" s="71"/>
    </row>
    <row r="670">
      <c r="C670" s="71"/>
    </row>
    <row r="671">
      <c r="C671" s="71"/>
    </row>
    <row r="672">
      <c r="C672" s="71"/>
    </row>
    <row r="673">
      <c r="C673" s="71"/>
    </row>
    <row r="674">
      <c r="C674" s="71"/>
    </row>
    <row r="675">
      <c r="C675" s="71"/>
    </row>
    <row r="676">
      <c r="C676" s="71"/>
    </row>
    <row r="677">
      <c r="C677" s="71"/>
    </row>
    <row r="678">
      <c r="C678" s="71"/>
    </row>
    <row r="679">
      <c r="C679" s="71"/>
    </row>
    <row r="680">
      <c r="C680" s="71"/>
    </row>
    <row r="681">
      <c r="C681" s="71"/>
    </row>
    <row r="682">
      <c r="C682" s="71"/>
    </row>
    <row r="683">
      <c r="C683" s="71"/>
    </row>
    <row r="684">
      <c r="C684" s="71"/>
    </row>
    <row r="685">
      <c r="C685" s="71"/>
    </row>
    <row r="686">
      <c r="C686" s="71"/>
    </row>
    <row r="687">
      <c r="C687" s="71"/>
    </row>
    <row r="688">
      <c r="C688" s="71"/>
    </row>
    <row r="689">
      <c r="C689" s="71"/>
    </row>
    <row r="690">
      <c r="C690" s="71"/>
    </row>
    <row r="691">
      <c r="C691" s="71"/>
    </row>
    <row r="692">
      <c r="C692" s="71"/>
    </row>
    <row r="693">
      <c r="C693" s="71"/>
    </row>
    <row r="694">
      <c r="C694" s="71"/>
    </row>
    <row r="695">
      <c r="C695" s="71"/>
    </row>
    <row r="696">
      <c r="C696" s="71"/>
    </row>
    <row r="697">
      <c r="C697" s="71"/>
    </row>
    <row r="698">
      <c r="C698" s="71"/>
    </row>
    <row r="699">
      <c r="C699" s="71"/>
    </row>
    <row r="700">
      <c r="C700" s="71"/>
    </row>
    <row r="701">
      <c r="C701" s="71"/>
    </row>
    <row r="702">
      <c r="C702" s="71"/>
    </row>
    <row r="703">
      <c r="C703" s="71"/>
    </row>
    <row r="704">
      <c r="C704" s="71"/>
    </row>
    <row r="705">
      <c r="C705" s="71"/>
    </row>
    <row r="706">
      <c r="C706" s="71"/>
    </row>
    <row r="707">
      <c r="C707" s="71"/>
    </row>
    <row r="708">
      <c r="C708" s="71"/>
    </row>
    <row r="709">
      <c r="C709" s="71"/>
    </row>
    <row r="710">
      <c r="C710" s="71"/>
    </row>
    <row r="711">
      <c r="C711" s="71"/>
    </row>
    <row r="712">
      <c r="C712" s="71"/>
    </row>
    <row r="713">
      <c r="C713" s="71"/>
    </row>
    <row r="714">
      <c r="C714" s="71"/>
    </row>
    <row r="715">
      <c r="C715" s="71"/>
    </row>
    <row r="716">
      <c r="C716" s="71"/>
    </row>
    <row r="717">
      <c r="C717" s="71"/>
    </row>
    <row r="718">
      <c r="C718" s="71"/>
    </row>
    <row r="719">
      <c r="C719" s="71"/>
    </row>
    <row r="720">
      <c r="C720" s="71"/>
    </row>
    <row r="721">
      <c r="C721" s="71"/>
    </row>
    <row r="722">
      <c r="C722" s="71"/>
    </row>
    <row r="723">
      <c r="C723" s="71"/>
    </row>
    <row r="724">
      <c r="C724" s="71"/>
    </row>
    <row r="725">
      <c r="C725" s="71"/>
    </row>
    <row r="726">
      <c r="C726" s="71"/>
    </row>
    <row r="727">
      <c r="C727" s="71"/>
    </row>
    <row r="728">
      <c r="C728" s="71"/>
    </row>
    <row r="729">
      <c r="C729" s="71"/>
    </row>
    <row r="730">
      <c r="C730" s="71"/>
    </row>
    <row r="731">
      <c r="C731" s="71"/>
    </row>
    <row r="732">
      <c r="C732" s="71"/>
    </row>
    <row r="733">
      <c r="C733" s="71"/>
    </row>
    <row r="734">
      <c r="C734" s="71"/>
    </row>
    <row r="735">
      <c r="C735" s="71"/>
    </row>
    <row r="736">
      <c r="C736" s="71"/>
    </row>
    <row r="737">
      <c r="C737" s="71"/>
    </row>
    <row r="738">
      <c r="C738" s="71"/>
    </row>
    <row r="739">
      <c r="C739" s="71"/>
    </row>
    <row r="740">
      <c r="C740" s="71"/>
    </row>
    <row r="741">
      <c r="C741" s="71"/>
    </row>
    <row r="742">
      <c r="C742" s="71"/>
    </row>
    <row r="743">
      <c r="C743" s="71"/>
    </row>
    <row r="744">
      <c r="C744" s="71"/>
    </row>
    <row r="745">
      <c r="C745" s="71"/>
    </row>
    <row r="746">
      <c r="C746" s="71"/>
    </row>
    <row r="747">
      <c r="C747" s="71"/>
    </row>
    <row r="748">
      <c r="C748" s="71"/>
    </row>
    <row r="749">
      <c r="C749" s="71"/>
    </row>
    <row r="750">
      <c r="C750" s="71"/>
    </row>
    <row r="751">
      <c r="C751" s="71"/>
    </row>
    <row r="752">
      <c r="C752" s="71"/>
    </row>
    <row r="753">
      <c r="C753" s="71"/>
    </row>
    <row r="754">
      <c r="C754" s="71"/>
    </row>
    <row r="755">
      <c r="C755" s="71"/>
    </row>
    <row r="756">
      <c r="C756" s="71"/>
    </row>
    <row r="757">
      <c r="C757" s="71"/>
    </row>
    <row r="758">
      <c r="C758" s="71"/>
    </row>
    <row r="759">
      <c r="C759" s="71"/>
    </row>
    <row r="760">
      <c r="C760" s="71"/>
    </row>
    <row r="761">
      <c r="C761" s="71"/>
    </row>
    <row r="762">
      <c r="C762" s="71"/>
    </row>
    <row r="763">
      <c r="C763" s="71"/>
    </row>
    <row r="764">
      <c r="C764" s="71"/>
    </row>
    <row r="765">
      <c r="C765" s="71"/>
    </row>
    <row r="766">
      <c r="C766" s="71"/>
    </row>
    <row r="767">
      <c r="C767" s="71"/>
    </row>
    <row r="768">
      <c r="C768" s="71"/>
    </row>
    <row r="769">
      <c r="C769" s="71"/>
    </row>
    <row r="770">
      <c r="C770" s="71"/>
    </row>
    <row r="771">
      <c r="C771" s="71"/>
    </row>
    <row r="772">
      <c r="C772" s="71"/>
    </row>
    <row r="773">
      <c r="C773" s="71"/>
    </row>
    <row r="774">
      <c r="C774" s="71"/>
    </row>
    <row r="775">
      <c r="C775" s="71"/>
    </row>
    <row r="776">
      <c r="C776" s="71"/>
    </row>
    <row r="777">
      <c r="C777" s="71"/>
    </row>
    <row r="778">
      <c r="C778" s="71"/>
    </row>
    <row r="779">
      <c r="C779" s="71"/>
    </row>
    <row r="780">
      <c r="C780" s="71"/>
    </row>
    <row r="781">
      <c r="C781" s="71"/>
    </row>
    <row r="782">
      <c r="C782" s="71"/>
    </row>
    <row r="783">
      <c r="C783" s="71"/>
    </row>
    <row r="784">
      <c r="C784" s="71"/>
    </row>
    <row r="785">
      <c r="C785" s="71"/>
    </row>
    <row r="786">
      <c r="C786" s="71"/>
    </row>
    <row r="787">
      <c r="C787" s="71"/>
    </row>
    <row r="788">
      <c r="C788" s="71"/>
    </row>
    <row r="789">
      <c r="C789" s="71"/>
    </row>
    <row r="790">
      <c r="C790" s="71"/>
    </row>
    <row r="791">
      <c r="C791" s="71"/>
    </row>
    <row r="792">
      <c r="C792" s="71"/>
    </row>
    <row r="793">
      <c r="C793" s="71"/>
    </row>
    <row r="794">
      <c r="C794" s="71"/>
    </row>
    <row r="795">
      <c r="C795" s="71"/>
    </row>
    <row r="796">
      <c r="C796" s="71"/>
    </row>
    <row r="797">
      <c r="C797" s="71"/>
    </row>
    <row r="798">
      <c r="C798" s="71"/>
    </row>
    <row r="799">
      <c r="C799" s="71"/>
    </row>
    <row r="800">
      <c r="C800" s="71"/>
    </row>
    <row r="801">
      <c r="C801" s="71"/>
    </row>
    <row r="802">
      <c r="C802" s="71"/>
    </row>
    <row r="803">
      <c r="C803" s="71"/>
    </row>
    <row r="804">
      <c r="C804" s="71"/>
    </row>
    <row r="805">
      <c r="C805" s="71"/>
    </row>
    <row r="806">
      <c r="C806" s="71"/>
    </row>
    <row r="807">
      <c r="C807" s="71"/>
    </row>
    <row r="808">
      <c r="C808" s="71"/>
    </row>
    <row r="809">
      <c r="C809" s="71"/>
    </row>
    <row r="810">
      <c r="C810" s="71"/>
    </row>
    <row r="811">
      <c r="C811" s="71"/>
    </row>
    <row r="812">
      <c r="C812" s="71"/>
    </row>
    <row r="813">
      <c r="C813" s="71"/>
    </row>
    <row r="814">
      <c r="C814" s="71"/>
    </row>
    <row r="815">
      <c r="C815" s="71"/>
    </row>
    <row r="816">
      <c r="C816" s="71"/>
    </row>
    <row r="817">
      <c r="C817" s="71"/>
    </row>
    <row r="818">
      <c r="C818" s="71"/>
    </row>
    <row r="819">
      <c r="C819" s="71"/>
    </row>
    <row r="820">
      <c r="C820" s="71"/>
    </row>
    <row r="821">
      <c r="C821" s="71"/>
    </row>
    <row r="822">
      <c r="C822" s="71"/>
    </row>
    <row r="823">
      <c r="C823" s="71"/>
    </row>
    <row r="824">
      <c r="C824" s="71"/>
    </row>
    <row r="825">
      <c r="C825" s="71"/>
    </row>
    <row r="826">
      <c r="C826" s="71"/>
    </row>
    <row r="827">
      <c r="C827" s="71"/>
    </row>
    <row r="828">
      <c r="C828" s="71"/>
    </row>
    <row r="829">
      <c r="C829" s="71"/>
    </row>
    <row r="830">
      <c r="C830" s="71"/>
    </row>
    <row r="831">
      <c r="C831" s="71"/>
    </row>
    <row r="832">
      <c r="C832" s="71"/>
    </row>
    <row r="833">
      <c r="C833" s="71"/>
    </row>
    <row r="834">
      <c r="C834" s="71"/>
    </row>
    <row r="835">
      <c r="C835" s="71"/>
    </row>
    <row r="836">
      <c r="C836" s="71"/>
    </row>
    <row r="837">
      <c r="C837" s="71"/>
    </row>
    <row r="838">
      <c r="C838" s="71"/>
    </row>
    <row r="839">
      <c r="C839" s="71"/>
    </row>
    <row r="840">
      <c r="C840" s="71"/>
    </row>
    <row r="841">
      <c r="C841" s="71"/>
    </row>
    <row r="842">
      <c r="C842" s="71"/>
    </row>
    <row r="843">
      <c r="C843" s="71"/>
    </row>
    <row r="844">
      <c r="C844" s="71"/>
    </row>
    <row r="845">
      <c r="C845" s="71"/>
    </row>
    <row r="846">
      <c r="C846" s="71"/>
    </row>
    <row r="847">
      <c r="C847" s="71"/>
    </row>
    <row r="848">
      <c r="C848" s="71"/>
    </row>
    <row r="849">
      <c r="C849" s="71"/>
    </row>
    <row r="850">
      <c r="C850" s="71"/>
    </row>
    <row r="851">
      <c r="C851" s="71"/>
    </row>
    <row r="852">
      <c r="C852" s="71"/>
    </row>
    <row r="853">
      <c r="C853" s="71"/>
    </row>
    <row r="854">
      <c r="C854" s="71"/>
    </row>
    <row r="855">
      <c r="C855" s="71"/>
    </row>
    <row r="856">
      <c r="C856" s="71"/>
    </row>
    <row r="857">
      <c r="C857" s="71"/>
    </row>
    <row r="858">
      <c r="C858" s="71"/>
    </row>
    <row r="859">
      <c r="C859" s="71"/>
    </row>
    <row r="860">
      <c r="C860" s="71"/>
    </row>
    <row r="861">
      <c r="C861" s="71"/>
    </row>
    <row r="862">
      <c r="C862" s="71"/>
    </row>
    <row r="863">
      <c r="C863" s="71"/>
    </row>
    <row r="864">
      <c r="C864" s="71"/>
    </row>
    <row r="865">
      <c r="C865" s="71"/>
    </row>
    <row r="866">
      <c r="C866" s="71"/>
    </row>
    <row r="867">
      <c r="C867" s="71"/>
    </row>
    <row r="868">
      <c r="C868" s="71"/>
    </row>
    <row r="869">
      <c r="C869" s="71"/>
    </row>
    <row r="870">
      <c r="C870" s="71"/>
    </row>
    <row r="871">
      <c r="C871" s="71"/>
    </row>
    <row r="872">
      <c r="C872" s="71"/>
    </row>
    <row r="873">
      <c r="C873" s="71"/>
    </row>
    <row r="874">
      <c r="C874" s="71"/>
    </row>
    <row r="875">
      <c r="C875" s="71"/>
    </row>
    <row r="876">
      <c r="C876" s="71"/>
    </row>
    <row r="877">
      <c r="C877" s="71"/>
    </row>
    <row r="878">
      <c r="C878" s="71"/>
    </row>
    <row r="879">
      <c r="C879" s="71"/>
    </row>
    <row r="880">
      <c r="C880" s="71"/>
    </row>
    <row r="881">
      <c r="C881" s="71"/>
    </row>
    <row r="882">
      <c r="C882" s="71"/>
    </row>
    <row r="883">
      <c r="C883" s="71"/>
    </row>
    <row r="884">
      <c r="C884" s="71"/>
    </row>
    <row r="885">
      <c r="C885" s="71"/>
    </row>
    <row r="886">
      <c r="C886" s="71"/>
    </row>
    <row r="887">
      <c r="C887" s="71"/>
    </row>
    <row r="888">
      <c r="C888" s="71"/>
    </row>
    <row r="889">
      <c r="C889" s="71"/>
    </row>
    <row r="890">
      <c r="C890" s="71"/>
    </row>
    <row r="891">
      <c r="C891" s="71"/>
    </row>
    <row r="892">
      <c r="C892" s="71"/>
    </row>
    <row r="893">
      <c r="C893" s="71"/>
    </row>
    <row r="894">
      <c r="C894" s="71"/>
    </row>
    <row r="895">
      <c r="C895" s="71"/>
    </row>
    <row r="896">
      <c r="C896" s="71"/>
    </row>
    <row r="897">
      <c r="C897" s="71"/>
    </row>
    <row r="898">
      <c r="C898" s="71"/>
    </row>
    <row r="899">
      <c r="C899" s="71"/>
    </row>
    <row r="900">
      <c r="C900" s="71"/>
    </row>
    <row r="901">
      <c r="C901" s="71"/>
    </row>
    <row r="902">
      <c r="C902" s="71"/>
    </row>
    <row r="903">
      <c r="C903" s="71"/>
    </row>
    <row r="904">
      <c r="C904" s="71"/>
    </row>
    <row r="905">
      <c r="C905" s="71"/>
    </row>
    <row r="906">
      <c r="C906" s="71"/>
    </row>
    <row r="907">
      <c r="C907" s="71"/>
    </row>
    <row r="908">
      <c r="C908" s="71"/>
    </row>
    <row r="909">
      <c r="C909" s="71"/>
    </row>
    <row r="910">
      <c r="C910" s="71"/>
    </row>
    <row r="911">
      <c r="C911" s="71"/>
    </row>
    <row r="912">
      <c r="C912" s="71"/>
    </row>
    <row r="913">
      <c r="C913" s="71"/>
    </row>
    <row r="914">
      <c r="C914" s="71"/>
    </row>
    <row r="915">
      <c r="C915" s="71"/>
    </row>
    <row r="916">
      <c r="C916" s="71"/>
    </row>
    <row r="917">
      <c r="C917" s="71"/>
    </row>
    <row r="918">
      <c r="C918" s="71"/>
    </row>
    <row r="919">
      <c r="C919" s="71"/>
    </row>
    <row r="920">
      <c r="C920" s="71"/>
    </row>
    <row r="921">
      <c r="C921" s="71"/>
    </row>
    <row r="922">
      <c r="C922" s="71"/>
    </row>
    <row r="923">
      <c r="C923" s="71"/>
    </row>
    <row r="924">
      <c r="C924" s="71"/>
    </row>
    <row r="925">
      <c r="C925" s="71"/>
    </row>
    <row r="926">
      <c r="C926" s="71"/>
    </row>
    <row r="927">
      <c r="C927" s="71"/>
    </row>
    <row r="928">
      <c r="C928" s="71"/>
    </row>
    <row r="929">
      <c r="C929" s="71"/>
    </row>
    <row r="930">
      <c r="C930" s="71"/>
    </row>
    <row r="931">
      <c r="C931" s="71"/>
    </row>
    <row r="932">
      <c r="C932" s="71"/>
    </row>
    <row r="933">
      <c r="C933" s="71"/>
    </row>
    <row r="934">
      <c r="C934" s="71"/>
    </row>
    <row r="935">
      <c r="C935" s="71"/>
    </row>
    <row r="936">
      <c r="C936" s="71"/>
    </row>
    <row r="937">
      <c r="C937" s="71"/>
    </row>
    <row r="938">
      <c r="C938" s="71"/>
    </row>
    <row r="939">
      <c r="C939" s="71"/>
    </row>
    <row r="940">
      <c r="C940" s="71"/>
    </row>
    <row r="941">
      <c r="C941" s="71"/>
    </row>
    <row r="942">
      <c r="C942" s="71"/>
    </row>
    <row r="943">
      <c r="C943" s="71"/>
    </row>
    <row r="944">
      <c r="C944" s="71"/>
    </row>
    <row r="945">
      <c r="C945" s="71"/>
    </row>
    <row r="946">
      <c r="C946" s="71"/>
    </row>
    <row r="947">
      <c r="C947" s="71"/>
    </row>
    <row r="948">
      <c r="C948" s="71"/>
    </row>
    <row r="949">
      <c r="C949" s="71"/>
    </row>
    <row r="950">
      <c r="C950" s="71"/>
    </row>
    <row r="951">
      <c r="C951" s="71"/>
    </row>
    <row r="952">
      <c r="C952" s="71"/>
    </row>
    <row r="953">
      <c r="C953" s="71"/>
    </row>
    <row r="954">
      <c r="C954" s="71"/>
    </row>
    <row r="955">
      <c r="C955" s="71"/>
    </row>
    <row r="956">
      <c r="C956" s="71"/>
    </row>
    <row r="957">
      <c r="C957" s="71"/>
    </row>
    <row r="958">
      <c r="C958" s="71"/>
    </row>
    <row r="959">
      <c r="C959" s="71"/>
    </row>
    <row r="960">
      <c r="C960" s="71"/>
    </row>
    <row r="961">
      <c r="C961" s="71"/>
    </row>
    <row r="962">
      <c r="C962" s="71"/>
    </row>
    <row r="963">
      <c r="C963" s="71"/>
    </row>
    <row r="964">
      <c r="C964" s="71"/>
    </row>
    <row r="965">
      <c r="C965" s="71"/>
    </row>
    <row r="966">
      <c r="C966" s="71"/>
    </row>
    <row r="967">
      <c r="C967" s="71"/>
    </row>
    <row r="968">
      <c r="C968" s="71"/>
    </row>
    <row r="969">
      <c r="C969" s="71"/>
    </row>
    <row r="970">
      <c r="C970" s="71"/>
    </row>
    <row r="971">
      <c r="C971" s="71"/>
    </row>
    <row r="972">
      <c r="C972" s="71"/>
    </row>
    <row r="973">
      <c r="C973" s="71"/>
    </row>
    <row r="974">
      <c r="C974" s="71"/>
    </row>
    <row r="975">
      <c r="C975" s="71"/>
    </row>
    <row r="976">
      <c r="C976" s="71"/>
    </row>
    <row r="977">
      <c r="C977" s="71"/>
    </row>
    <row r="978">
      <c r="C978" s="71"/>
    </row>
    <row r="979">
      <c r="C979" s="71"/>
    </row>
    <row r="980">
      <c r="C980" s="71"/>
    </row>
    <row r="981">
      <c r="C981" s="71"/>
    </row>
    <row r="982">
      <c r="C982" s="71"/>
    </row>
    <row r="983">
      <c r="C983" s="71"/>
    </row>
    <row r="984">
      <c r="C984" s="71"/>
    </row>
    <row r="985">
      <c r="C985" s="71"/>
    </row>
    <row r="986">
      <c r="C986" s="71"/>
    </row>
    <row r="987">
      <c r="C987" s="71"/>
    </row>
    <row r="988">
      <c r="C988" s="71"/>
    </row>
    <row r="989">
      <c r="C989" s="71"/>
    </row>
    <row r="990">
      <c r="C990" s="71"/>
    </row>
    <row r="991">
      <c r="C991" s="71"/>
    </row>
    <row r="992">
      <c r="C992" s="71"/>
    </row>
    <row r="993">
      <c r="C993" s="71"/>
    </row>
    <row r="994">
      <c r="C994" s="71"/>
    </row>
    <row r="995">
      <c r="C995" s="71"/>
    </row>
    <row r="996">
      <c r="C996" s="71"/>
    </row>
    <row r="997">
      <c r="C997" s="71"/>
    </row>
    <row r="998">
      <c r="C998" s="71"/>
    </row>
    <row r="999">
      <c r="C999" s="71"/>
    </row>
    <row r="1000">
      <c r="C1000" s="71"/>
    </row>
    <row r="1001">
      <c r="C1001" s="71"/>
    </row>
    <row r="1002">
      <c r="C1002" s="71"/>
    </row>
    <row r="1003">
      <c r="C1003" s="71"/>
    </row>
    <row r="1004">
      <c r="C1004" s="71"/>
    </row>
    <row r="1005">
      <c r="C1005" s="71"/>
    </row>
    <row r="1006">
      <c r="C1006" s="71"/>
    </row>
    <row r="1007">
      <c r="C1007" s="71"/>
    </row>
    <row r="1008">
      <c r="C1008" s="71"/>
    </row>
    <row r="1009">
      <c r="C1009" s="71"/>
    </row>
    <row r="1010">
      <c r="C1010" s="71"/>
    </row>
    <row r="1011">
      <c r="C1011" s="71"/>
    </row>
    <row r="1012">
      <c r="C1012" s="71"/>
    </row>
    <row r="1013">
      <c r="C1013" s="71"/>
    </row>
    <row r="1014">
      <c r="C1014" s="71"/>
    </row>
    <row r="1015">
      <c r="C1015" s="71"/>
    </row>
    <row r="1016">
      <c r="C1016" s="71"/>
    </row>
    <row r="1017">
      <c r="C1017" s="71"/>
    </row>
  </sheetData>
  <mergeCells count="11">
    <mergeCell ref="E181:F181"/>
    <mergeCell ref="E198:F198"/>
    <mergeCell ref="E212:F212"/>
    <mergeCell ref="E219:F219"/>
    <mergeCell ref="A1:I1"/>
    <mergeCell ref="E23:F23"/>
    <mergeCell ref="E66:F66"/>
    <mergeCell ref="E104:F104"/>
    <mergeCell ref="E143:F143"/>
    <mergeCell ref="E150:F150"/>
    <mergeCell ref="E159:F159"/>
  </mergeCells>
  <dataValidations>
    <dataValidation type="list" allowBlank="1" showErrorMessage="1" sqref="A4:A21 A26:A64 A69:A101 A107:A140 A146:A148 A153 A162:A179 A184:A196 A201:A210 A215:A218 A222:A224">
      <formula1>"Basico ,Cargo Stretch,Esencial ,Mao Mic ,Basico Stretch,Mao Stretch ,Mao Pro ,Elite,Altu ,Colors,Cargo Mic ,Esencial Stretch "</formula1>
    </dataValidation>
    <dataValidation type="list" allowBlank="1" showErrorMessage="1" sqref="E4:E21 E26:E64 E69:E101 E107:E140 E146:E149 E153">
      <formula1>"Recta ,Jogger,Ancha"</formula1>
    </dataValidation>
    <dataValidation type="list" allowBlank="1" showErrorMessage="1" sqref="E162:E179 E184:E196 E201:E210 E215:E218 E222:E224">
      <formula1>"Jogger,Recta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1.0"/>
    <col customWidth="1" min="4" max="4" width="19.25"/>
    <col customWidth="1" min="8" max="8" width="19.63"/>
    <col customWidth="1" min="9" max="9" width="32.0"/>
    <col customWidth="1" min="10" max="10" width="29.13"/>
  </cols>
  <sheetData>
    <row r="1">
      <c r="A1" s="72" t="s">
        <v>122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73"/>
    </row>
    <row r="3">
      <c r="A3" s="9"/>
      <c r="B3" s="9"/>
      <c r="C3" s="9"/>
      <c r="D3" s="9"/>
      <c r="E3" s="72" t="s">
        <v>123</v>
      </c>
      <c r="G3" s="9"/>
      <c r="H3" s="9"/>
      <c r="I3" s="74"/>
      <c r="J3" s="75"/>
      <c r="K3" s="73"/>
    </row>
    <row r="4">
      <c r="A4" s="9"/>
      <c r="B4" s="9"/>
      <c r="C4" s="9"/>
      <c r="D4" s="9"/>
      <c r="E4" s="9"/>
      <c r="F4" s="9"/>
      <c r="G4" s="9"/>
      <c r="H4" s="9"/>
      <c r="I4" s="76"/>
      <c r="J4" s="77">
        <v>46135.0</v>
      </c>
      <c r="K4" s="73"/>
    </row>
    <row r="5">
      <c r="A5" s="78" t="s">
        <v>124</v>
      </c>
      <c r="B5" s="15" t="s">
        <v>125</v>
      </c>
      <c r="C5" s="78" t="s">
        <v>10</v>
      </c>
      <c r="D5" s="44" t="s">
        <v>126</v>
      </c>
      <c r="E5" s="79">
        <v>3.0</v>
      </c>
      <c r="F5" s="44">
        <v>35.0</v>
      </c>
      <c r="G5" s="80">
        <f t="shared" ref="G5:G9" si="1">PRODUCT(E5:F5)</f>
        <v>105</v>
      </c>
      <c r="H5" s="44" t="s">
        <v>127</v>
      </c>
      <c r="I5" s="19" t="s">
        <v>12</v>
      </c>
      <c r="J5" s="19" t="s">
        <v>12</v>
      </c>
      <c r="K5" s="73"/>
    </row>
    <row r="6">
      <c r="A6" s="20" t="s">
        <v>124</v>
      </c>
      <c r="B6" s="12" t="s">
        <v>128</v>
      </c>
      <c r="C6" s="12" t="s">
        <v>10</v>
      </c>
      <c r="D6" s="44" t="s">
        <v>126</v>
      </c>
      <c r="E6" s="25">
        <v>0.0</v>
      </c>
      <c r="F6" s="44">
        <v>35.0</v>
      </c>
      <c r="G6" s="80">
        <f t="shared" si="1"/>
        <v>0</v>
      </c>
      <c r="H6" s="44" t="s">
        <v>129</v>
      </c>
      <c r="I6" s="19"/>
      <c r="J6" s="19"/>
      <c r="K6" s="73"/>
    </row>
    <row r="7">
      <c r="A7" s="78" t="s">
        <v>130</v>
      </c>
      <c r="B7" s="15" t="s">
        <v>131</v>
      </c>
      <c r="C7" s="15" t="s">
        <v>10</v>
      </c>
      <c r="D7" s="80" t="s">
        <v>132</v>
      </c>
      <c r="E7" s="13">
        <v>2.0</v>
      </c>
      <c r="F7" s="44">
        <v>35.0</v>
      </c>
      <c r="G7" s="80">
        <f t="shared" si="1"/>
        <v>70</v>
      </c>
      <c r="H7" s="44" t="s">
        <v>127</v>
      </c>
      <c r="I7" s="19" t="s">
        <v>12</v>
      </c>
      <c r="J7" s="19" t="s">
        <v>12</v>
      </c>
      <c r="K7" s="73"/>
    </row>
    <row r="8">
      <c r="A8" s="78" t="s">
        <v>130</v>
      </c>
      <c r="B8" s="15" t="s">
        <v>131</v>
      </c>
      <c r="C8" s="19" t="s">
        <v>10</v>
      </c>
      <c r="D8" s="80" t="s">
        <v>126</v>
      </c>
      <c r="E8" s="13">
        <v>2.0</v>
      </c>
      <c r="F8" s="44">
        <v>45.0</v>
      </c>
      <c r="G8" s="80">
        <f t="shared" si="1"/>
        <v>90</v>
      </c>
      <c r="H8" s="44" t="s">
        <v>127</v>
      </c>
      <c r="I8" s="19" t="s">
        <v>12</v>
      </c>
      <c r="J8" s="19" t="s">
        <v>12</v>
      </c>
      <c r="K8" s="73"/>
    </row>
    <row r="9">
      <c r="A9" s="78" t="s">
        <v>130</v>
      </c>
      <c r="B9" s="15" t="s">
        <v>131</v>
      </c>
      <c r="C9" s="19" t="s">
        <v>10</v>
      </c>
      <c r="D9" s="44" t="s">
        <v>133</v>
      </c>
      <c r="E9" s="13">
        <v>2.0</v>
      </c>
      <c r="F9" s="19">
        <v>40.0</v>
      </c>
      <c r="G9" s="80">
        <f t="shared" si="1"/>
        <v>80</v>
      </c>
      <c r="H9" s="44" t="s">
        <v>127</v>
      </c>
      <c r="I9" s="19" t="s">
        <v>12</v>
      </c>
      <c r="J9" s="9"/>
      <c r="K9" s="73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73"/>
    </row>
    <row r="11">
      <c r="A11" s="9"/>
      <c r="B11" s="9"/>
      <c r="C11" s="9"/>
      <c r="D11" s="9"/>
      <c r="E11" s="81" t="s">
        <v>134</v>
      </c>
      <c r="G11" s="9"/>
      <c r="H11" s="9"/>
      <c r="I11" s="9"/>
      <c r="J11" s="9"/>
      <c r="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</row>
    <row r="13">
      <c r="A13" s="9"/>
      <c r="B13" s="9"/>
      <c r="C13" s="9"/>
      <c r="D13" s="9"/>
      <c r="E13" s="9"/>
      <c r="F13" s="9"/>
      <c r="G13" s="9"/>
      <c r="H13" s="9"/>
      <c r="I13" s="73"/>
      <c r="J13" s="73"/>
      <c r="K13" s="73"/>
    </row>
    <row r="14">
      <c r="A14" s="78" t="s">
        <v>124</v>
      </c>
      <c r="B14" s="15" t="s">
        <v>125</v>
      </c>
      <c r="C14" s="20" t="s">
        <v>36</v>
      </c>
      <c r="D14" s="44" t="s">
        <v>126</v>
      </c>
      <c r="E14" s="12">
        <v>1.0</v>
      </c>
      <c r="F14" s="44">
        <v>35.0</v>
      </c>
      <c r="G14" s="80">
        <f t="shared" ref="G14:G20" si="2">PRODUCT(E14:F14)</f>
        <v>35</v>
      </c>
      <c r="H14" s="44" t="s">
        <v>127</v>
      </c>
      <c r="I14" s="82"/>
      <c r="J14" s="19" t="s">
        <v>12</v>
      </c>
      <c r="K14" s="73"/>
    </row>
    <row r="15">
      <c r="A15" s="20" t="s">
        <v>124</v>
      </c>
      <c r="B15" s="26" t="s">
        <v>128</v>
      </c>
      <c r="C15" s="20" t="s">
        <v>36</v>
      </c>
      <c r="D15" s="44" t="s">
        <v>126</v>
      </c>
      <c r="E15" s="25">
        <v>0.0</v>
      </c>
      <c r="F15" s="44">
        <v>35.0</v>
      </c>
      <c r="G15" s="80">
        <f t="shared" si="2"/>
        <v>0</v>
      </c>
      <c r="H15" s="44" t="s">
        <v>127</v>
      </c>
      <c r="I15" s="82"/>
      <c r="J15" s="19" t="s">
        <v>12</v>
      </c>
      <c r="K15" s="73"/>
    </row>
    <row r="16">
      <c r="A16" s="20" t="s">
        <v>124</v>
      </c>
      <c r="B16" s="26" t="s">
        <v>33</v>
      </c>
      <c r="C16" s="20" t="s">
        <v>36</v>
      </c>
      <c r="D16" s="44" t="s">
        <v>135</v>
      </c>
      <c r="E16" s="25">
        <v>0.0</v>
      </c>
      <c r="F16" s="44">
        <v>60.0</v>
      </c>
      <c r="G16" s="80">
        <f t="shared" si="2"/>
        <v>0</v>
      </c>
      <c r="H16" s="44" t="s">
        <v>127</v>
      </c>
      <c r="I16" s="82"/>
      <c r="J16" s="19" t="s">
        <v>12</v>
      </c>
      <c r="K16" s="73"/>
    </row>
    <row r="17">
      <c r="A17" s="78" t="s">
        <v>130</v>
      </c>
      <c r="B17" s="15" t="s">
        <v>131</v>
      </c>
      <c r="C17" s="12" t="s">
        <v>98</v>
      </c>
      <c r="D17" s="80" t="s">
        <v>132</v>
      </c>
      <c r="E17" s="19">
        <v>17.0</v>
      </c>
      <c r="F17" s="44">
        <v>35.0</v>
      </c>
      <c r="G17" s="80">
        <f t="shared" si="2"/>
        <v>595</v>
      </c>
      <c r="H17" s="44" t="s">
        <v>127</v>
      </c>
      <c r="I17" s="82" t="s">
        <v>12</v>
      </c>
      <c r="J17" s="19" t="s">
        <v>12</v>
      </c>
      <c r="K17" s="73"/>
    </row>
    <row r="18">
      <c r="A18" s="78" t="s">
        <v>130</v>
      </c>
      <c r="B18" s="15" t="s">
        <v>131</v>
      </c>
      <c r="C18" s="19" t="s">
        <v>98</v>
      </c>
      <c r="D18" s="80" t="s">
        <v>126</v>
      </c>
      <c r="E18" s="25">
        <v>0.0</v>
      </c>
      <c r="F18" s="44">
        <v>45.0</v>
      </c>
      <c r="G18" s="80">
        <f t="shared" si="2"/>
        <v>0</v>
      </c>
      <c r="H18" s="44" t="s">
        <v>127</v>
      </c>
      <c r="I18" s="82"/>
      <c r="J18" s="19" t="s">
        <v>12</v>
      </c>
      <c r="K18" s="73"/>
    </row>
    <row r="19">
      <c r="A19" s="20" t="s">
        <v>136</v>
      </c>
      <c r="B19" s="19" t="s">
        <v>131</v>
      </c>
      <c r="C19" s="19" t="s">
        <v>137</v>
      </c>
      <c r="D19" s="80" t="s">
        <v>126</v>
      </c>
      <c r="E19" s="38">
        <v>0.0</v>
      </c>
      <c r="F19" s="42">
        <v>80.0</v>
      </c>
      <c r="G19" s="80">
        <f t="shared" si="2"/>
        <v>0</v>
      </c>
      <c r="H19" s="44" t="s">
        <v>127</v>
      </c>
      <c r="I19" s="82"/>
      <c r="J19" s="82"/>
      <c r="K19" s="73"/>
    </row>
    <row r="20">
      <c r="A20" s="78" t="s">
        <v>130</v>
      </c>
      <c r="B20" s="19" t="s">
        <v>131</v>
      </c>
      <c r="C20" s="42" t="s">
        <v>36</v>
      </c>
      <c r="D20" s="44" t="s">
        <v>133</v>
      </c>
      <c r="E20" s="13">
        <v>1.0</v>
      </c>
      <c r="F20" s="19">
        <v>40.0</v>
      </c>
      <c r="G20" s="80">
        <f t="shared" si="2"/>
        <v>40</v>
      </c>
      <c r="H20" s="44" t="s">
        <v>127</v>
      </c>
      <c r="I20" s="82" t="s">
        <v>12</v>
      </c>
      <c r="J20" s="19" t="s">
        <v>12</v>
      </c>
      <c r="K20" s="73"/>
    </row>
    <row r="21">
      <c r="A21" s="39"/>
      <c r="B21" s="39"/>
      <c r="C21" s="39"/>
      <c r="D21" s="39"/>
      <c r="E21" s="39"/>
      <c r="F21" s="39"/>
      <c r="G21" s="39"/>
      <c r="H21" s="39"/>
      <c r="I21" s="73"/>
      <c r="J21" s="73"/>
      <c r="K21" s="73"/>
    </row>
    <row r="22">
      <c r="A22" s="39"/>
      <c r="B22" s="39"/>
      <c r="C22" s="39"/>
      <c r="D22" s="39"/>
      <c r="E22" s="83" t="s">
        <v>138</v>
      </c>
      <c r="G22" s="39"/>
      <c r="H22" s="39"/>
      <c r="I22" s="73"/>
      <c r="J22" s="73"/>
      <c r="K22" s="73"/>
    </row>
    <row r="23">
      <c r="A23" s="39"/>
      <c r="B23" s="39"/>
      <c r="C23" s="39"/>
      <c r="D23" s="39"/>
      <c r="E23" s="39"/>
      <c r="F23" s="39"/>
      <c r="G23" s="39"/>
      <c r="H23" s="39"/>
      <c r="I23" s="73"/>
      <c r="J23" s="73"/>
      <c r="K23" s="73"/>
    </row>
    <row r="24">
      <c r="A24" s="78" t="s">
        <v>124</v>
      </c>
      <c r="B24" s="78" t="s">
        <v>125</v>
      </c>
      <c r="C24" s="20" t="s">
        <v>59</v>
      </c>
      <c r="D24" s="44" t="s">
        <v>126</v>
      </c>
      <c r="E24" s="26">
        <v>0.0</v>
      </c>
      <c r="F24" s="20">
        <v>35.0</v>
      </c>
      <c r="G24" s="78">
        <f t="shared" ref="G24:G30" si="3">PRODUCT(E24:F24)</f>
        <v>0</v>
      </c>
      <c r="H24" s="44" t="s">
        <v>129</v>
      </c>
      <c r="I24" s="82"/>
      <c r="J24" s="82"/>
      <c r="K24" s="73"/>
    </row>
    <row r="25">
      <c r="A25" s="20" t="s">
        <v>124</v>
      </c>
      <c r="B25" s="26" t="s">
        <v>139</v>
      </c>
      <c r="C25" s="20" t="s">
        <v>59</v>
      </c>
      <c r="D25" s="44" t="s">
        <v>126</v>
      </c>
      <c r="E25" s="25">
        <v>0.0</v>
      </c>
      <c r="F25" s="20">
        <v>35.0</v>
      </c>
      <c r="G25" s="78">
        <f t="shared" si="3"/>
        <v>0</v>
      </c>
      <c r="H25" s="44" t="s">
        <v>129</v>
      </c>
      <c r="I25" s="82"/>
      <c r="J25" s="82"/>
      <c r="K25" s="73"/>
    </row>
    <row r="26">
      <c r="A26" s="20" t="s">
        <v>124</v>
      </c>
      <c r="B26" s="26" t="s">
        <v>49</v>
      </c>
      <c r="C26" s="20" t="s">
        <v>59</v>
      </c>
      <c r="D26" s="44" t="s">
        <v>135</v>
      </c>
      <c r="E26" s="25">
        <v>0.0</v>
      </c>
      <c r="F26" s="20">
        <v>60.0</v>
      </c>
      <c r="G26" s="78">
        <f t="shared" si="3"/>
        <v>0</v>
      </c>
      <c r="H26" s="44" t="s">
        <v>129</v>
      </c>
      <c r="I26" s="82"/>
      <c r="J26" s="19" t="s">
        <v>12</v>
      </c>
      <c r="K26" s="73"/>
    </row>
    <row r="27">
      <c r="A27" s="78" t="s">
        <v>130</v>
      </c>
      <c r="B27" s="15" t="s">
        <v>131</v>
      </c>
      <c r="C27" s="12" t="s">
        <v>59</v>
      </c>
      <c r="D27" s="80" t="s">
        <v>132</v>
      </c>
      <c r="E27" s="19">
        <v>6.0</v>
      </c>
      <c r="F27" s="20">
        <v>35.0</v>
      </c>
      <c r="G27" s="78">
        <f t="shared" si="3"/>
        <v>210</v>
      </c>
      <c r="H27" s="44" t="s">
        <v>127</v>
      </c>
      <c r="I27" s="82" t="s">
        <v>12</v>
      </c>
      <c r="J27" s="19" t="s">
        <v>12</v>
      </c>
      <c r="K27" s="73"/>
    </row>
    <row r="28">
      <c r="A28" s="78" t="s">
        <v>130</v>
      </c>
      <c r="B28" s="15" t="s">
        <v>131</v>
      </c>
      <c r="C28" s="19" t="s">
        <v>59</v>
      </c>
      <c r="D28" s="80" t="s">
        <v>126</v>
      </c>
      <c r="E28" s="13">
        <v>2.0</v>
      </c>
      <c r="F28" s="20">
        <v>45.0</v>
      </c>
      <c r="G28" s="78">
        <f t="shared" si="3"/>
        <v>90</v>
      </c>
      <c r="H28" s="44" t="s">
        <v>127</v>
      </c>
      <c r="I28" s="82" t="s">
        <v>12</v>
      </c>
      <c r="J28" s="82"/>
      <c r="K28" s="73"/>
    </row>
    <row r="29">
      <c r="A29" s="20" t="s">
        <v>136</v>
      </c>
      <c r="B29" s="19" t="s">
        <v>131</v>
      </c>
      <c r="C29" s="19" t="s">
        <v>59</v>
      </c>
      <c r="D29" s="42" t="s">
        <v>140</v>
      </c>
      <c r="E29" s="25">
        <v>0.0</v>
      </c>
      <c r="F29" s="19">
        <v>80.0</v>
      </c>
      <c r="G29" s="78">
        <f t="shared" si="3"/>
        <v>0</v>
      </c>
      <c r="H29" s="44" t="s">
        <v>129</v>
      </c>
      <c r="I29" s="82"/>
      <c r="J29" s="82"/>
      <c r="K29" s="73"/>
    </row>
    <row r="30">
      <c r="A30" s="78" t="s">
        <v>130</v>
      </c>
      <c r="B30" s="19" t="s">
        <v>131</v>
      </c>
      <c r="C30" s="19" t="s">
        <v>59</v>
      </c>
      <c r="D30" s="44" t="s">
        <v>133</v>
      </c>
      <c r="E30" s="13">
        <v>2.0</v>
      </c>
      <c r="F30" s="19">
        <v>40.0</v>
      </c>
      <c r="G30" s="78">
        <f t="shared" si="3"/>
        <v>80</v>
      </c>
      <c r="H30" s="44" t="s">
        <v>127</v>
      </c>
      <c r="I30" s="82" t="s">
        <v>12</v>
      </c>
      <c r="J30" s="73"/>
      <c r="K30" s="73"/>
    </row>
    <row r="31">
      <c r="A31" s="9"/>
      <c r="B31" s="9"/>
      <c r="C31" s="9"/>
      <c r="D31" s="9"/>
      <c r="E31" s="9"/>
      <c r="F31" s="9"/>
      <c r="G31" s="9"/>
      <c r="H31" s="9"/>
      <c r="I31" s="73"/>
      <c r="J31" s="73"/>
      <c r="K31" s="73"/>
    </row>
    <row r="32">
      <c r="A32" s="39"/>
      <c r="B32" s="39"/>
      <c r="C32" s="39"/>
      <c r="D32" s="39"/>
      <c r="E32" s="83" t="s">
        <v>141</v>
      </c>
      <c r="G32" s="39"/>
      <c r="H32" s="39"/>
      <c r="I32" s="73"/>
      <c r="J32" s="73"/>
      <c r="K32" s="73"/>
    </row>
    <row r="33">
      <c r="A33" s="39"/>
      <c r="B33" s="39"/>
      <c r="C33" s="39"/>
      <c r="D33" s="39"/>
      <c r="E33" s="39"/>
      <c r="F33" s="39"/>
      <c r="G33" s="39"/>
      <c r="H33" s="39"/>
      <c r="I33" s="73"/>
      <c r="J33" s="73"/>
      <c r="K33" s="73"/>
    </row>
    <row r="34">
      <c r="A34" s="20" t="s">
        <v>124</v>
      </c>
      <c r="B34" s="26" t="s">
        <v>128</v>
      </c>
      <c r="C34" s="20" t="s">
        <v>75</v>
      </c>
      <c r="D34" s="44" t="s">
        <v>126</v>
      </c>
      <c r="E34" s="84">
        <v>0.0</v>
      </c>
      <c r="F34" s="44">
        <v>35.0</v>
      </c>
      <c r="G34" s="80">
        <f t="shared" ref="G34:G40" si="4">PRODUCT(E34:F34)</f>
        <v>0</v>
      </c>
      <c r="H34" s="44" t="s">
        <v>129</v>
      </c>
      <c r="I34" s="82"/>
      <c r="J34" s="82"/>
      <c r="K34" s="73"/>
    </row>
    <row r="35">
      <c r="A35" s="78" t="s">
        <v>124</v>
      </c>
      <c r="B35" s="15" t="s">
        <v>125</v>
      </c>
      <c r="C35" s="20" t="s">
        <v>75</v>
      </c>
      <c r="D35" s="44" t="s">
        <v>126</v>
      </c>
      <c r="E35" s="79">
        <v>1.0</v>
      </c>
      <c r="F35" s="44">
        <v>35.0</v>
      </c>
      <c r="G35" s="80">
        <f t="shared" si="4"/>
        <v>35</v>
      </c>
      <c r="H35" s="44" t="s">
        <v>129</v>
      </c>
      <c r="I35" s="82"/>
      <c r="J35" s="19" t="s">
        <v>12</v>
      </c>
      <c r="K35" s="73"/>
    </row>
    <row r="36">
      <c r="A36" s="20" t="s">
        <v>124</v>
      </c>
      <c r="B36" s="26" t="s">
        <v>142</v>
      </c>
      <c r="C36" s="20" t="s">
        <v>75</v>
      </c>
      <c r="D36" s="44" t="s">
        <v>143</v>
      </c>
      <c r="E36" s="25">
        <v>0.0</v>
      </c>
      <c r="F36" s="44">
        <v>75.0</v>
      </c>
      <c r="G36" s="80">
        <f t="shared" si="4"/>
        <v>0</v>
      </c>
      <c r="H36" s="44" t="s">
        <v>129</v>
      </c>
      <c r="I36" s="82"/>
      <c r="J36" s="19" t="s">
        <v>12</v>
      </c>
      <c r="K36" s="73"/>
    </row>
    <row r="37">
      <c r="A37" s="78" t="s">
        <v>130</v>
      </c>
      <c r="B37" s="15" t="s">
        <v>131</v>
      </c>
      <c r="C37" s="12" t="s">
        <v>75</v>
      </c>
      <c r="D37" s="80" t="s">
        <v>132</v>
      </c>
      <c r="E37" s="13">
        <v>2.0</v>
      </c>
      <c r="F37" s="44">
        <v>35.0</v>
      </c>
      <c r="G37" s="80">
        <f t="shared" si="4"/>
        <v>70</v>
      </c>
      <c r="H37" s="44" t="s">
        <v>127</v>
      </c>
      <c r="I37" s="82" t="s">
        <v>12</v>
      </c>
      <c r="J37" s="19" t="s">
        <v>12</v>
      </c>
      <c r="K37" s="73"/>
    </row>
    <row r="38">
      <c r="A38" s="78" t="s">
        <v>130</v>
      </c>
      <c r="B38" s="15" t="s">
        <v>131</v>
      </c>
      <c r="C38" s="19" t="s">
        <v>75</v>
      </c>
      <c r="D38" s="80" t="s">
        <v>126</v>
      </c>
      <c r="E38" s="13">
        <v>2.0</v>
      </c>
      <c r="F38" s="44">
        <v>45.0</v>
      </c>
      <c r="G38" s="80">
        <f t="shared" si="4"/>
        <v>90</v>
      </c>
      <c r="H38" s="44" t="s">
        <v>127</v>
      </c>
      <c r="I38" s="82" t="s">
        <v>12</v>
      </c>
      <c r="J38" s="19" t="s">
        <v>12</v>
      </c>
      <c r="K38" s="73"/>
    </row>
    <row r="39">
      <c r="A39" s="20" t="s">
        <v>136</v>
      </c>
      <c r="B39" s="19" t="s">
        <v>131</v>
      </c>
      <c r="C39" s="19" t="s">
        <v>75</v>
      </c>
      <c r="D39" s="42" t="s">
        <v>140</v>
      </c>
      <c r="E39" s="25">
        <v>0.0</v>
      </c>
      <c r="F39" s="42">
        <v>80.0</v>
      </c>
      <c r="G39" s="80">
        <f t="shared" si="4"/>
        <v>0</v>
      </c>
      <c r="H39" s="44" t="s">
        <v>129</v>
      </c>
      <c r="I39" s="82"/>
      <c r="J39" s="82"/>
      <c r="K39" s="73"/>
    </row>
    <row r="40">
      <c r="A40" s="78" t="s">
        <v>130</v>
      </c>
      <c r="B40" s="19" t="s">
        <v>131</v>
      </c>
      <c r="C40" s="19" t="s">
        <v>75</v>
      </c>
      <c r="D40" s="44" t="s">
        <v>133</v>
      </c>
      <c r="E40" s="25">
        <v>0.0</v>
      </c>
      <c r="F40" s="19">
        <v>40.0</v>
      </c>
      <c r="G40" s="80">
        <f t="shared" si="4"/>
        <v>0</v>
      </c>
      <c r="H40" s="44" t="s">
        <v>129</v>
      </c>
      <c r="I40" s="82"/>
      <c r="J40" s="73"/>
      <c r="K40" s="73"/>
    </row>
    <row r="41">
      <c r="A41" s="9"/>
      <c r="B41" s="9"/>
      <c r="C41" s="9"/>
      <c r="D41" s="9"/>
      <c r="E41" s="9"/>
      <c r="F41" s="9"/>
      <c r="G41" s="9"/>
      <c r="H41" s="9"/>
      <c r="I41" s="73"/>
      <c r="J41" s="73"/>
      <c r="K41" s="73"/>
    </row>
    <row r="42">
      <c r="A42" s="39"/>
      <c r="B42" s="39"/>
      <c r="C42" s="39"/>
      <c r="D42" s="39"/>
      <c r="E42" s="83" t="s">
        <v>144</v>
      </c>
      <c r="G42" s="39"/>
      <c r="H42" s="39"/>
      <c r="I42" s="73"/>
      <c r="J42" s="73"/>
      <c r="K42" s="73"/>
    </row>
    <row r="43">
      <c r="A43" s="39"/>
      <c r="B43" s="39"/>
      <c r="C43" s="39"/>
      <c r="D43" s="39"/>
      <c r="E43" s="39"/>
      <c r="F43" s="39"/>
      <c r="G43" s="39"/>
      <c r="H43" s="39"/>
      <c r="I43" s="73"/>
      <c r="J43" s="73"/>
      <c r="K43" s="73"/>
    </row>
    <row r="44">
      <c r="A44" s="78" t="s">
        <v>124</v>
      </c>
      <c r="B44" s="15" t="s">
        <v>125</v>
      </c>
      <c r="C44" s="20" t="s">
        <v>86</v>
      </c>
      <c r="D44" s="44" t="s">
        <v>126</v>
      </c>
      <c r="E44" s="44">
        <v>6.0</v>
      </c>
      <c r="F44" s="44">
        <v>35.0</v>
      </c>
      <c r="G44" s="80">
        <f t="shared" ref="G44:G48" si="5">PRODUCT(E44:F44)</f>
        <v>210</v>
      </c>
      <c r="H44" s="44" t="s">
        <v>129</v>
      </c>
      <c r="I44" s="82" t="s">
        <v>12</v>
      </c>
      <c r="J44" s="82"/>
      <c r="K44" s="73"/>
    </row>
    <row r="45">
      <c r="A45" s="20" t="s">
        <v>124</v>
      </c>
      <c r="B45" s="12" t="s">
        <v>128</v>
      </c>
      <c r="C45" s="12" t="s">
        <v>86</v>
      </c>
      <c r="D45" s="44" t="s">
        <v>126</v>
      </c>
      <c r="E45" s="25">
        <v>0.0</v>
      </c>
      <c r="F45" s="44">
        <v>35.0</v>
      </c>
      <c r="G45" s="80">
        <f t="shared" si="5"/>
        <v>0</v>
      </c>
      <c r="H45" s="44" t="s">
        <v>129</v>
      </c>
      <c r="I45" s="82"/>
      <c r="J45" s="82"/>
      <c r="K45" s="73"/>
    </row>
    <row r="46">
      <c r="A46" s="78" t="s">
        <v>130</v>
      </c>
      <c r="B46" s="15" t="s">
        <v>131</v>
      </c>
      <c r="C46" s="12" t="s">
        <v>86</v>
      </c>
      <c r="D46" s="80" t="s">
        <v>132</v>
      </c>
      <c r="E46" s="25">
        <v>0.0</v>
      </c>
      <c r="F46" s="44">
        <v>35.0</v>
      </c>
      <c r="G46" s="80">
        <f t="shared" si="5"/>
        <v>0</v>
      </c>
      <c r="H46" s="44" t="s">
        <v>129</v>
      </c>
      <c r="I46" s="82"/>
      <c r="J46" s="82"/>
      <c r="K46" s="73"/>
    </row>
    <row r="47">
      <c r="A47" s="78" t="s">
        <v>130</v>
      </c>
      <c r="B47" s="15" t="s">
        <v>131</v>
      </c>
      <c r="C47" s="19" t="s">
        <v>86</v>
      </c>
      <c r="D47" s="80" t="s">
        <v>126</v>
      </c>
      <c r="E47" s="25">
        <v>0.0</v>
      </c>
      <c r="F47" s="44">
        <v>45.0</v>
      </c>
      <c r="G47" s="80">
        <f t="shared" si="5"/>
        <v>0</v>
      </c>
      <c r="H47" s="44" t="s">
        <v>129</v>
      </c>
      <c r="I47" s="82" t="s">
        <v>12</v>
      </c>
      <c r="J47" s="82"/>
      <c r="K47" s="73"/>
    </row>
    <row r="48">
      <c r="A48" s="20" t="s">
        <v>136</v>
      </c>
      <c r="B48" s="19" t="s">
        <v>131</v>
      </c>
      <c r="C48" s="19" t="s">
        <v>86</v>
      </c>
      <c r="D48" s="42" t="s">
        <v>140</v>
      </c>
      <c r="E48" s="25">
        <v>0.0</v>
      </c>
      <c r="F48" s="42">
        <v>80.0</v>
      </c>
      <c r="G48" s="80">
        <f t="shared" si="5"/>
        <v>0</v>
      </c>
      <c r="H48" s="44" t="s">
        <v>129</v>
      </c>
      <c r="I48" s="82"/>
      <c r="J48" s="82"/>
      <c r="K48" s="73"/>
    </row>
    <row r="49">
      <c r="A49" s="39"/>
      <c r="B49" s="39"/>
      <c r="C49" s="39"/>
      <c r="D49" s="39"/>
      <c r="E49" s="39"/>
      <c r="F49" s="39"/>
      <c r="G49" s="39"/>
      <c r="H49" s="39"/>
      <c r="I49" s="73"/>
      <c r="J49" s="73"/>
      <c r="K49" s="73"/>
    </row>
    <row r="50">
      <c r="A50" s="39"/>
      <c r="B50" s="39"/>
      <c r="C50" s="39"/>
      <c r="D50" s="39"/>
      <c r="E50" s="83" t="s">
        <v>145</v>
      </c>
      <c r="G50" s="39"/>
      <c r="H50" s="39"/>
      <c r="I50" s="73"/>
      <c r="J50" s="73"/>
      <c r="K50" s="73"/>
    </row>
    <row r="51">
      <c r="A51" s="78" t="s">
        <v>124</v>
      </c>
      <c r="B51" s="15" t="s">
        <v>125</v>
      </c>
      <c r="C51" s="20" t="s">
        <v>92</v>
      </c>
      <c r="D51" s="44" t="s">
        <v>126</v>
      </c>
      <c r="E51" s="79">
        <v>1.0</v>
      </c>
      <c r="F51" s="44">
        <v>40.0</v>
      </c>
      <c r="G51" s="80">
        <f t="shared" ref="G51:G53" si="6">PRODUCT(E51:F51)</f>
        <v>40</v>
      </c>
      <c r="H51" s="44" t="s">
        <v>129</v>
      </c>
      <c r="I51" s="82" t="s">
        <v>12</v>
      </c>
      <c r="J51" s="82"/>
      <c r="K51" s="73"/>
    </row>
    <row r="52">
      <c r="A52" s="78" t="s">
        <v>130</v>
      </c>
      <c r="B52" s="15" t="s">
        <v>131</v>
      </c>
      <c r="C52" s="12" t="s">
        <v>92</v>
      </c>
      <c r="D52" s="80" t="s">
        <v>132</v>
      </c>
      <c r="E52" s="25">
        <v>0.0</v>
      </c>
      <c r="F52" s="44">
        <v>40.0</v>
      </c>
      <c r="G52" s="80">
        <f t="shared" si="6"/>
        <v>0</v>
      </c>
      <c r="H52" s="44" t="s">
        <v>129</v>
      </c>
      <c r="I52" s="82"/>
      <c r="J52" s="82"/>
      <c r="K52" s="73"/>
    </row>
    <row r="53">
      <c r="A53" s="78" t="s">
        <v>130</v>
      </c>
      <c r="B53" s="15" t="s">
        <v>131</v>
      </c>
      <c r="C53" s="19" t="s">
        <v>92</v>
      </c>
      <c r="D53" s="80" t="s">
        <v>126</v>
      </c>
      <c r="E53" s="25">
        <v>0.0</v>
      </c>
      <c r="F53" s="44">
        <v>50.0</v>
      </c>
      <c r="G53" s="80">
        <f t="shared" si="6"/>
        <v>0</v>
      </c>
      <c r="H53" s="44" t="s">
        <v>129</v>
      </c>
      <c r="I53" s="82"/>
      <c r="J53" s="82"/>
      <c r="K53" s="73"/>
    </row>
    <row r="54">
      <c r="A54" s="20" t="s">
        <v>136</v>
      </c>
      <c r="B54" s="19" t="s">
        <v>131</v>
      </c>
      <c r="C54" s="19" t="s">
        <v>92</v>
      </c>
      <c r="D54" s="42" t="s">
        <v>140</v>
      </c>
      <c r="E54" s="25">
        <v>0.0</v>
      </c>
      <c r="F54" s="42">
        <v>80.0</v>
      </c>
      <c r="G54" s="39"/>
      <c r="H54" s="44" t="s">
        <v>129</v>
      </c>
      <c r="I54" s="82"/>
      <c r="J54" s="82"/>
      <c r="K54" s="73"/>
    </row>
    <row r="55">
      <c r="A55" s="85"/>
      <c r="B55" s="85"/>
      <c r="C55" s="85"/>
      <c r="D55" s="85"/>
      <c r="E55" s="85"/>
      <c r="F55" s="85"/>
      <c r="G55" s="85"/>
      <c r="H55" s="85"/>
      <c r="I55" s="86"/>
      <c r="J55" s="86"/>
      <c r="K55" s="86"/>
    </row>
    <row r="56">
      <c r="A56" s="39"/>
      <c r="B56" s="39"/>
      <c r="C56" s="39"/>
      <c r="D56" s="39"/>
      <c r="E56" s="87" t="s">
        <v>146</v>
      </c>
      <c r="G56" s="39"/>
      <c r="H56" s="39"/>
      <c r="I56" s="73"/>
      <c r="J56" s="73"/>
      <c r="K56" s="73"/>
    </row>
    <row r="57">
      <c r="A57" s="39"/>
      <c r="B57" s="39"/>
      <c r="C57" s="39"/>
      <c r="D57" s="39"/>
      <c r="E57" s="39"/>
      <c r="F57" s="39"/>
      <c r="G57" s="39"/>
      <c r="H57" s="39"/>
      <c r="I57" s="73"/>
      <c r="J57" s="73"/>
      <c r="K57" s="73"/>
    </row>
    <row r="58">
      <c r="A58" s="78" t="s">
        <v>130</v>
      </c>
      <c r="B58" s="15" t="s">
        <v>131</v>
      </c>
      <c r="C58" s="15" t="s">
        <v>10</v>
      </c>
      <c r="D58" s="80" t="s">
        <v>132</v>
      </c>
      <c r="E58" s="13">
        <v>8.0</v>
      </c>
      <c r="F58" s="44">
        <v>34.0</v>
      </c>
      <c r="G58" s="80">
        <f t="shared" ref="G58:G59" si="7">PRODUCT(E58:F58)</f>
        <v>272</v>
      </c>
      <c r="H58" s="44" t="s">
        <v>127</v>
      </c>
      <c r="I58" s="82" t="s">
        <v>12</v>
      </c>
      <c r="J58" s="82" t="s">
        <v>12</v>
      </c>
      <c r="K58" s="73"/>
    </row>
    <row r="59">
      <c r="A59" s="78" t="s">
        <v>130</v>
      </c>
      <c r="B59" s="15" t="s">
        <v>131</v>
      </c>
      <c r="C59" s="19" t="s">
        <v>10</v>
      </c>
      <c r="D59" s="80" t="s">
        <v>126</v>
      </c>
      <c r="E59" s="25">
        <v>0.0</v>
      </c>
      <c r="F59" s="44">
        <v>45.0</v>
      </c>
      <c r="G59" s="80">
        <f t="shared" si="7"/>
        <v>0</v>
      </c>
      <c r="H59" s="44" t="s">
        <v>129</v>
      </c>
      <c r="I59" s="82"/>
      <c r="J59" s="82"/>
      <c r="K59" s="73"/>
    </row>
    <row r="60">
      <c r="A60" s="39"/>
      <c r="B60" s="39"/>
      <c r="C60" s="39"/>
      <c r="D60" s="39"/>
      <c r="E60" s="39"/>
      <c r="F60" s="39"/>
      <c r="G60" s="39"/>
      <c r="H60" s="39"/>
      <c r="I60" s="73"/>
      <c r="J60" s="73"/>
      <c r="K60" s="73"/>
    </row>
    <row r="61">
      <c r="A61" s="39"/>
      <c r="B61" s="39"/>
      <c r="C61" s="39"/>
      <c r="D61" s="39"/>
      <c r="E61" s="87" t="s">
        <v>147</v>
      </c>
      <c r="G61" s="39"/>
      <c r="H61" s="39"/>
      <c r="I61" s="73"/>
      <c r="J61" s="73"/>
      <c r="K61" s="73"/>
    </row>
    <row r="62">
      <c r="A62" s="39"/>
      <c r="B62" s="39"/>
      <c r="C62" s="39"/>
      <c r="D62" s="39"/>
      <c r="E62" s="39"/>
      <c r="F62" s="39"/>
      <c r="G62" s="39"/>
      <c r="H62" s="39"/>
      <c r="I62" s="73"/>
      <c r="J62" s="73"/>
      <c r="K62" s="73"/>
    </row>
    <row r="63">
      <c r="A63" s="78" t="s">
        <v>130</v>
      </c>
      <c r="B63" s="15" t="s">
        <v>131</v>
      </c>
      <c r="C63" s="12" t="s">
        <v>36</v>
      </c>
      <c r="D63" s="80" t="s">
        <v>132</v>
      </c>
      <c r="E63" s="13">
        <v>7.0</v>
      </c>
      <c r="F63" s="44">
        <v>35.0</v>
      </c>
      <c r="G63" s="80">
        <f t="shared" ref="G63:G64" si="8">PRODUCT(E63:F63)</f>
        <v>245</v>
      </c>
      <c r="H63" s="44" t="s">
        <v>127</v>
      </c>
      <c r="I63" s="82" t="s">
        <v>12</v>
      </c>
      <c r="J63" s="19" t="s">
        <v>12</v>
      </c>
      <c r="K63" s="73"/>
    </row>
    <row r="64">
      <c r="A64" s="78" t="s">
        <v>130</v>
      </c>
      <c r="B64" s="15" t="s">
        <v>131</v>
      </c>
      <c r="C64" s="19" t="s">
        <v>36</v>
      </c>
      <c r="D64" s="80" t="s">
        <v>126</v>
      </c>
      <c r="E64" s="25">
        <v>0.0</v>
      </c>
      <c r="F64" s="44">
        <v>45.0</v>
      </c>
      <c r="G64" s="80">
        <f t="shared" si="8"/>
        <v>0</v>
      </c>
      <c r="H64" s="44" t="s">
        <v>127</v>
      </c>
      <c r="I64" s="82"/>
      <c r="J64" s="82"/>
      <c r="K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</row>
    <row r="66">
      <c r="A66" s="73"/>
      <c r="B66" s="73"/>
      <c r="C66" s="73"/>
      <c r="D66" s="73"/>
      <c r="E66" s="87" t="s">
        <v>148</v>
      </c>
      <c r="G66" s="73"/>
      <c r="H66" s="73"/>
      <c r="I66" s="73"/>
      <c r="J66" s="73"/>
      <c r="K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</row>
    <row r="68">
      <c r="A68" s="78" t="s">
        <v>130</v>
      </c>
      <c r="B68" s="15" t="s">
        <v>131</v>
      </c>
      <c r="C68" s="12" t="s">
        <v>59</v>
      </c>
      <c r="D68" s="80" t="s">
        <v>132</v>
      </c>
      <c r="E68" s="13">
        <v>3.0</v>
      </c>
      <c r="F68" s="44">
        <v>35.0</v>
      </c>
      <c r="G68" s="80">
        <f t="shared" ref="G68:G69" si="9">PRODUCT(E68:F68)</f>
        <v>105</v>
      </c>
      <c r="H68" s="44" t="s">
        <v>127</v>
      </c>
      <c r="I68" s="82" t="s">
        <v>12</v>
      </c>
      <c r="J68" s="19" t="s">
        <v>12</v>
      </c>
      <c r="K68" s="73"/>
    </row>
    <row r="69">
      <c r="A69" s="78" t="s">
        <v>130</v>
      </c>
      <c r="B69" s="15" t="s">
        <v>131</v>
      </c>
      <c r="C69" s="19" t="s">
        <v>59</v>
      </c>
      <c r="D69" s="80" t="s">
        <v>126</v>
      </c>
      <c r="E69" s="59">
        <v>0.0</v>
      </c>
      <c r="F69" s="44">
        <v>45.0</v>
      </c>
      <c r="G69" s="80">
        <f t="shared" si="9"/>
        <v>0</v>
      </c>
      <c r="H69" s="44" t="s">
        <v>129</v>
      </c>
      <c r="I69" s="82"/>
      <c r="J69" s="82"/>
      <c r="K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</row>
    <row r="71">
      <c r="A71" s="73"/>
      <c r="B71" s="73"/>
      <c r="C71" s="73"/>
      <c r="D71" s="73"/>
      <c r="E71" s="87" t="s">
        <v>149</v>
      </c>
      <c r="G71" s="73"/>
      <c r="H71" s="73"/>
      <c r="I71" s="73"/>
      <c r="J71" s="73"/>
      <c r="K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</row>
    <row r="73">
      <c r="A73" s="20" t="s">
        <v>124</v>
      </c>
      <c r="B73" s="12" t="s">
        <v>14</v>
      </c>
      <c r="C73" s="12" t="s">
        <v>75</v>
      </c>
      <c r="D73" s="44" t="s">
        <v>135</v>
      </c>
      <c r="E73" s="25">
        <v>0.0</v>
      </c>
      <c r="F73" s="44">
        <v>60.0</v>
      </c>
      <c r="G73" s="80">
        <f t="shared" ref="G73:G75" si="10">PRODUCT(E73:F73)</f>
        <v>0</v>
      </c>
      <c r="H73" s="44" t="s">
        <v>129</v>
      </c>
      <c r="I73" s="82"/>
      <c r="J73" s="82"/>
      <c r="K73" s="73"/>
    </row>
    <row r="74">
      <c r="A74" s="78" t="s">
        <v>130</v>
      </c>
      <c r="B74" s="15" t="s">
        <v>131</v>
      </c>
      <c r="C74" s="12" t="s">
        <v>75</v>
      </c>
      <c r="D74" s="80" t="s">
        <v>132</v>
      </c>
      <c r="E74" s="13">
        <v>1.0</v>
      </c>
      <c r="F74" s="44">
        <v>35.0</v>
      </c>
      <c r="G74" s="80">
        <f t="shared" si="10"/>
        <v>35</v>
      </c>
      <c r="H74" s="44" t="s">
        <v>127</v>
      </c>
      <c r="I74" s="82" t="s">
        <v>12</v>
      </c>
      <c r="J74" s="19" t="s">
        <v>12</v>
      </c>
      <c r="K74" s="73"/>
    </row>
    <row r="75">
      <c r="A75" s="78" t="s">
        <v>130</v>
      </c>
      <c r="B75" s="15" t="s">
        <v>131</v>
      </c>
      <c r="C75" s="19" t="s">
        <v>75</v>
      </c>
      <c r="D75" s="80" t="s">
        <v>126</v>
      </c>
      <c r="E75" s="25">
        <v>0.0</v>
      </c>
      <c r="F75" s="44">
        <v>45.0</v>
      </c>
      <c r="G75" s="80">
        <f t="shared" si="10"/>
        <v>0</v>
      </c>
      <c r="H75" s="44" t="s">
        <v>129</v>
      </c>
      <c r="I75" s="82"/>
      <c r="J75" s="82"/>
      <c r="K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</row>
    <row r="77">
      <c r="A77" s="73"/>
      <c r="B77" s="73"/>
      <c r="C77" s="73"/>
      <c r="D77" s="73"/>
      <c r="E77" s="87" t="s">
        <v>150</v>
      </c>
      <c r="G77" s="73"/>
      <c r="H77" s="73"/>
      <c r="I77" s="73"/>
      <c r="J77" s="73"/>
      <c r="K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</row>
    <row r="79">
      <c r="A79" s="78" t="s">
        <v>130</v>
      </c>
      <c r="B79" s="15" t="s">
        <v>131</v>
      </c>
      <c r="C79" s="12" t="s">
        <v>86</v>
      </c>
      <c r="D79" s="80" t="s">
        <v>132</v>
      </c>
      <c r="E79" s="13">
        <v>1.0</v>
      </c>
      <c r="F79" s="44">
        <v>35.0</v>
      </c>
      <c r="G79" s="80">
        <f t="shared" ref="G79:G80" si="11">PRODUCT(E79:F79)</f>
        <v>35</v>
      </c>
      <c r="H79" s="44" t="s">
        <v>127</v>
      </c>
      <c r="I79" s="82" t="s">
        <v>12</v>
      </c>
      <c r="J79" s="82"/>
      <c r="K79" s="73"/>
    </row>
    <row r="80">
      <c r="A80" s="78" t="s">
        <v>130</v>
      </c>
      <c r="B80" s="15" t="s">
        <v>131</v>
      </c>
      <c r="C80" s="19" t="s">
        <v>86</v>
      </c>
      <c r="D80" s="80" t="s">
        <v>126</v>
      </c>
      <c r="E80" s="25">
        <v>0.0</v>
      </c>
      <c r="F80" s="44">
        <v>45.0</v>
      </c>
      <c r="G80" s="80">
        <f t="shared" si="11"/>
        <v>0</v>
      </c>
      <c r="H80" s="44" t="s">
        <v>129</v>
      </c>
      <c r="I80" s="82"/>
      <c r="J80" s="19" t="s">
        <v>12</v>
      </c>
      <c r="K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</row>
    <row r="82">
      <c r="A82" s="73"/>
      <c r="B82" s="73"/>
      <c r="C82" s="73"/>
      <c r="D82" s="73"/>
      <c r="E82" s="73"/>
      <c r="F82" s="73"/>
      <c r="G82" s="73">
        <f>SUM(G5:G81)</f>
        <v>2532</v>
      </c>
      <c r="H82" s="73"/>
      <c r="I82" s="73"/>
      <c r="J82" s="73"/>
      <c r="K82" s="73"/>
    </row>
    <row r="83">
      <c r="A83" s="73"/>
      <c r="B83" s="73"/>
      <c r="C83" s="73"/>
      <c r="D83" s="73"/>
      <c r="E83" s="87" t="s">
        <v>151</v>
      </c>
      <c r="G83" s="73"/>
      <c r="H83" s="73"/>
      <c r="I83" s="73"/>
      <c r="J83" s="73"/>
      <c r="K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</row>
    <row r="85">
      <c r="A85" s="78" t="s">
        <v>130</v>
      </c>
      <c r="B85" s="15" t="s">
        <v>131</v>
      </c>
      <c r="C85" s="12" t="s">
        <v>92</v>
      </c>
      <c r="D85" s="80" t="s">
        <v>132</v>
      </c>
      <c r="E85" s="19">
        <v>1.0</v>
      </c>
      <c r="F85" s="44">
        <v>50.0</v>
      </c>
      <c r="G85" s="80">
        <f>PRODUCT(E85:F85)</f>
        <v>50</v>
      </c>
      <c r="H85" s="44" t="s">
        <v>127</v>
      </c>
      <c r="I85" s="82" t="s">
        <v>22</v>
      </c>
      <c r="J85" s="73"/>
      <c r="K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19" t="s">
        <v>12</v>
      </c>
      <c r="K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</row>
  </sheetData>
  <mergeCells count="13">
    <mergeCell ref="E56:F56"/>
    <mergeCell ref="E61:F61"/>
    <mergeCell ref="E66:F66"/>
    <mergeCell ref="E71:F71"/>
    <mergeCell ref="E77:F77"/>
    <mergeCell ref="E83:F83"/>
    <mergeCell ref="A1:J1"/>
    <mergeCell ref="E3:F3"/>
    <mergeCell ref="E11:F11"/>
    <mergeCell ref="E22:F22"/>
    <mergeCell ref="E32:F32"/>
    <mergeCell ref="E42:F42"/>
    <mergeCell ref="E50:F50"/>
  </mergeCells>
  <dataValidations>
    <dataValidation type="list" allowBlank="1" showErrorMessage="1" sqref="A5:A9 A14:A20 A24:A30 A34:A40 A44:A48 A51:A54 A58:A59 A63:A64 A68:A69 A73:A75 A79:A80 A85">
      <formula1>"Chaqueta ,Larga ,Sobretodo "</formula1>
    </dataValidation>
    <dataValidation type="list" allowBlank="1" showErrorMessage="1" sqref="D5:D9 D14:D20 D24:D28 D30 D34:D38 D40 D44:D47 D51:D53 D58:D59 D63:D64 D68:D69 D73:D75 D79:D80 D85">
      <formula1>"Pro ,Algodon,Poliester,Colors ,Cierre"</formula1>
    </dataValidation>
    <dataValidation type="list" allowBlank="1" showErrorMessage="1" sqref="H5:H9 H14:H20 H24:H30 H34:H40 H44:H48 H51:H54 H58:H59 H63:H64 H68:H69 H73:H75 H79:H80 H85">
      <formula1>"Disponible,No Disponible"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8.38"/>
    <col customWidth="1" min="3" max="3" width="21.13"/>
    <col customWidth="1" min="4" max="4" width="22.13"/>
    <col customWidth="1" min="10" max="10" width="15.75"/>
    <col customWidth="1" min="11" max="11" width="20.75"/>
    <col customWidth="1" min="12" max="12" width="31.5"/>
  </cols>
  <sheetData>
    <row r="1">
      <c r="A1" s="88"/>
      <c r="B1" s="88"/>
      <c r="C1" s="88"/>
      <c r="D1" s="89"/>
      <c r="E1" s="90" t="s">
        <v>152</v>
      </c>
      <c r="F1" s="90"/>
      <c r="G1" s="90"/>
      <c r="H1" s="90" t="s">
        <v>153</v>
      </c>
      <c r="I1" s="88"/>
      <c r="J1" s="88"/>
      <c r="K1" s="88"/>
      <c r="L1" s="88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91"/>
      <c r="L2" s="92">
        <v>46135.0</v>
      </c>
    </row>
    <row r="3">
      <c r="A3" s="12" t="s">
        <v>154</v>
      </c>
      <c r="B3" s="12" t="s">
        <v>155</v>
      </c>
      <c r="C3" s="15" t="s">
        <v>140</v>
      </c>
      <c r="D3" s="15" t="s">
        <v>140</v>
      </c>
      <c r="E3" s="12">
        <v>3.0</v>
      </c>
      <c r="F3" s="20" t="s">
        <v>12</v>
      </c>
      <c r="G3" s="12"/>
      <c r="H3" s="12">
        <v>10.0</v>
      </c>
      <c r="I3" s="15">
        <f>PRODUCT(E3:H3)</f>
        <v>30</v>
      </c>
      <c r="J3" s="20" t="s">
        <v>127</v>
      </c>
      <c r="K3" s="93"/>
      <c r="L3" s="19" t="s">
        <v>12</v>
      </c>
    </row>
    <row r="4">
      <c r="A4" s="12" t="s">
        <v>154</v>
      </c>
      <c r="B4" s="19" t="s">
        <v>156</v>
      </c>
      <c r="C4" s="19" t="s">
        <v>157</v>
      </c>
      <c r="D4" s="19"/>
      <c r="E4" s="19">
        <v>2.0</v>
      </c>
      <c r="F4" s="19" t="s">
        <v>12</v>
      </c>
      <c r="G4" s="19"/>
      <c r="H4" s="19"/>
      <c r="I4" s="15"/>
      <c r="J4" s="20"/>
      <c r="K4" s="86"/>
      <c r="L4" s="94"/>
    </row>
    <row r="5">
      <c r="A5" s="12" t="s">
        <v>154</v>
      </c>
      <c r="B5" s="19" t="s">
        <v>156</v>
      </c>
      <c r="C5" s="19" t="s">
        <v>131</v>
      </c>
      <c r="D5" s="19"/>
      <c r="E5" s="19">
        <v>4.0</v>
      </c>
      <c r="F5" s="19" t="s">
        <v>12</v>
      </c>
      <c r="G5" s="19"/>
      <c r="H5" s="19"/>
      <c r="I5" s="15"/>
      <c r="J5" s="20"/>
      <c r="K5" s="86"/>
      <c r="L5" s="94"/>
    </row>
    <row r="6">
      <c r="A6" s="12" t="s">
        <v>154</v>
      </c>
      <c r="B6" s="19" t="s">
        <v>156</v>
      </c>
      <c r="C6" s="13" t="s">
        <v>158</v>
      </c>
      <c r="D6" s="13"/>
      <c r="E6" s="13">
        <v>1.0</v>
      </c>
      <c r="F6" s="19"/>
      <c r="G6" s="19"/>
      <c r="H6" s="19"/>
      <c r="I6" s="15"/>
      <c r="J6" s="20"/>
      <c r="K6" s="86"/>
      <c r="L6" s="94"/>
    </row>
    <row r="7">
      <c r="A7" s="12" t="s">
        <v>154</v>
      </c>
      <c r="B7" s="19" t="s">
        <v>156</v>
      </c>
      <c r="C7" s="13" t="s">
        <v>159</v>
      </c>
      <c r="D7" s="13"/>
      <c r="E7" s="13">
        <v>2.0</v>
      </c>
      <c r="F7" s="19"/>
      <c r="G7" s="19"/>
      <c r="H7" s="19"/>
      <c r="I7" s="15"/>
      <c r="J7" s="20"/>
      <c r="K7" s="86"/>
      <c r="L7" s="94"/>
    </row>
    <row r="8">
      <c r="A8" s="12"/>
      <c r="B8" s="19"/>
      <c r="C8" s="19"/>
      <c r="D8" s="19"/>
      <c r="E8" s="19"/>
      <c r="F8" s="19"/>
      <c r="G8" s="19"/>
      <c r="H8" s="19"/>
      <c r="I8" s="15"/>
      <c r="J8" s="20"/>
      <c r="K8" s="86"/>
      <c r="L8" s="94"/>
    </row>
    <row r="9">
      <c r="A9" s="12"/>
      <c r="B9" s="19"/>
      <c r="C9" s="19"/>
      <c r="D9" s="19"/>
      <c r="E9" s="19"/>
      <c r="F9" s="19"/>
      <c r="G9" s="19"/>
      <c r="H9" s="19"/>
      <c r="I9" s="15"/>
      <c r="J9" s="20"/>
      <c r="K9" s="86"/>
      <c r="L9" s="94"/>
    </row>
    <row r="10">
      <c r="A10" s="12" t="s">
        <v>160</v>
      </c>
      <c r="B10" s="19" t="s">
        <v>161</v>
      </c>
      <c r="C10" s="19" t="s">
        <v>41</v>
      </c>
      <c r="D10" s="19" t="s">
        <v>140</v>
      </c>
      <c r="E10" s="19">
        <v>2.0</v>
      </c>
      <c r="F10" s="19" t="s">
        <v>12</v>
      </c>
      <c r="G10" s="13"/>
      <c r="H10" s="19">
        <v>6.0</v>
      </c>
      <c r="I10" s="15">
        <f t="shared" ref="I10:I15" si="1">PRODUCT(E10:H10)</f>
        <v>12</v>
      </c>
      <c r="J10" s="20" t="s">
        <v>127</v>
      </c>
      <c r="K10" s="93"/>
      <c r="L10" s="19" t="s">
        <v>12</v>
      </c>
    </row>
    <row r="11">
      <c r="A11" s="12" t="s">
        <v>160</v>
      </c>
      <c r="B11" s="19" t="s">
        <v>155</v>
      </c>
      <c r="C11" s="13" t="s">
        <v>162</v>
      </c>
      <c r="D11" s="13" t="s">
        <v>140</v>
      </c>
      <c r="E11" s="13">
        <v>2.0</v>
      </c>
      <c r="F11" s="13" t="s">
        <v>12</v>
      </c>
      <c r="G11" s="19"/>
      <c r="H11" s="19">
        <v>6.0</v>
      </c>
      <c r="I11" s="15">
        <f t="shared" si="1"/>
        <v>12</v>
      </c>
      <c r="J11" s="20" t="s">
        <v>127</v>
      </c>
      <c r="K11" s="93"/>
      <c r="L11" s="19" t="s">
        <v>12</v>
      </c>
    </row>
    <row r="12">
      <c r="A12" s="12" t="s">
        <v>160</v>
      </c>
      <c r="B12" s="19" t="s">
        <v>155</v>
      </c>
      <c r="C12" s="13" t="s">
        <v>159</v>
      </c>
      <c r="D12" s="13" t="s">
        <v>140</v>
      </c>
      <c r="E12" s="13">
        <v>2.0</v>
      </c>
      <c r="F12" s="19" t="s">
        <v>12</v>
      </c>
      <c r="G12" s="19"/>
      <c r="H12" s="19">
        <v>6.0</v>
      </c>
      <c r="I12" s="15">
        <f t="shared" si="1"/>
        <v>12</v>
      </c>
      <c r="J12" s="20" t="s">
        <v>127</v>
      </c>
      <c r="K12" s="93"/>
      <c r="L12" s="95"/>
    </row>
    <row r="13">
      <c r="A13" s="12" t="s">
        <v>160</v>
      </c>
      <c r="B13" s="19" t="s">
        <v>155</v>
      </c>
      <c r="C13" s="13" t="s">
        <v>35</v>
      </c>
      <c r="D13" s="13" t="s">
        <v>140</v>
      </c>
      <c r="E13" s="13">
        <v>2.0</v>
      </c>
      <c r="F13" s="19" t="s">
        <v>12</v>
      </c>
      <c r="G13" s="13"/>
      <c r="H13" s="19">
        <v>6.0</v>
      </c>
      <c r="I13" s="15">
        <f t="shared" si="1"/>
        <v>12</v>
      </c>
      <c r="J13" s="20" t="s">
        <v>127</v>
      </c>
      <c r="K13" s="93"/>
      <c r="L13" s="19" t="s">
        <v>12</v>
      </c>
    </row>
    <row r="14">
      <c r="A14" s="12" t="s">
        <v>160</v>
      </c>
      <c r="B14" s="19" t="s">
        <v>155</v>
      </c>
      <c r="C14" s="13" t="s">
        <v>163</v>
      </c>
      <c r="D14" s="13" t="s">
        <v>140</v>
      </c>
      <c r="E14" s="13">
        <v>1.0</v>
      </c>
      <c r="F14" s="13" t="s">
        <v>12</v>
      </c>
      <c r="G14" s="13"/>
      <c r="H14" s="19">
        <v>6.0</v>
      </c>
      <c r="I14" s="15">
        <f t="shared" si="1"/>
        <v>6</v>
      </c>
      <c r="J14" s="20" t="s">
        <v>127</v>
      </c>
      <c r="K14" s="93"/>
      <c r="L14" s="19" t="s">
        <v>12</v>
      </c>
    </row>
    <row r="15">
      <c r="A15" s="12" t="s">
        <v>160</v>
      </c>
      <c r="B15" s="13" t="s">
        <v>155</v>
      </c>
      <c r="C15" s="13" t="s">
        <v>17</v>
      </c>
      <c r="D15" s="13" t="s">
        <v>140</v>
      </c>
      <c r="E15" s="13">
        <v>2.0</v>
      </c>
      <c r="F15" s="19" t="s">
        <v>12</v>
      </c>
      <c r="G15" s="13"/>
      <c r="H15" s="19">
        <v>6.0</v>
      </c>
      <c r="I15" s="15">
        <f t="shared" si="1"/>
        <v>12</v>
      </c>
      <c r="J15" s="20" t="s">
        <v>127</v>
      </c>
      <c r="K15" s="93"/>
      <c r="L15" s="19" t="s">
        <v>12</v>
      </c>
    </row>
    <row r="16">
      <c r="A16" s="12"/>
      <c r="B16" s="19"/>
      <c r="C16" s="19"/>
      <c r="D16" s="19"/>
      <c r="E16" s="19"/>
      <c r="F16" s="19"/>
      <c r="G16" s="19"/>
      <c r="H16" s="19"/>
      <c r="I16" s="15"/>
      <c r="J16" s="20"/>
      <c r="K16" s="86"/>
      <c r="L16" s="94"/>
    </row>
    <row r="17">
      <c r="A17" s="12" t="s">
        <v>164</v>
      </c>
      <c r="B17" s="13" t="s">
        <v>165</v>
      </c>
      <c r="C17" s="19" t="s">
        <v>166</v>
      </c>
      <c r="D17" s="13" t="s">
        <v>140</v>
      </c>
      <c r="E17" s="13">
        <v>3.0</v>
      </c>
      <c r="F17" s="13" t="s">
        <v>12</v>
      </c>
      <c r="G17" s="13"/>
      <c r="H17" s="19">
        <v>5.0</v>
      </c>
      <c r="I17" s="15">
        <f>PRODUCT(E17:H17)</f>
        <v>15</v>
      </c>
      <c r="J17" s="20" t="s">
        <v>127</v>
      </c>
      <c r="K17" s="93"/>
      <c r="L17" s="19" t="s">
        <v>12</v>
      </c>
    </row>
    <row r="18">
      <c r="A18" s="12" t="s">
        <v>164</v>
      </c>
      <c r="B18" s="19" t="s">
        <v>165</v>
      </c>
      <c r="C18" s="19" t="s">
        <v>167</v>
      </c>
      <c r="D18" s="19"/>
      <c r="E18" s="19">
        <v>1.0</v>
      </c>
      <c r="F18" s="19" t="s">
        <v>12</v>
      </c>
      <c r="G18" s="19"/>
      <c r="H18" s="9"/>
      <c r="I18" s="9"/>
      <c r="J18" s="20"/>
      <c r="K18" s="86"/>
      <c r="L18" s="94"/>
    </row>
    <row r="19">
      <c r="A19" s="12" t="s">
        <v>164</v>
      </c>
      <c r="B19" s="19" t="s">
        <v>168</v>
      </c>
      <c r="C19" s="19" t="s">
        <v>169</v>
      </c>
      <c r="D19" s="19"/>
      <c r="E19" s="19">
        <v>1.0</v>
      </c>
      <c r="F19" s="19" t="s">
        <v>12</v>
      </c>
      <c r="G19" s="19"/>
      <c r="H19" s="9"/>
      <c r="I19" s="9"/>
      <c r="J19" s="20"/>
      <c r="K19" s="86"/>
      <c r="L19" s="94"/>
    </row>
    <row r="20">
      <c r="A20" s="12" t="s">
        <v>164</v>
      </c>
      <c r="B20" s="19" t="s">
        <v>168</v>
      </c>
      <c r="C20" s="25" t="s">
        <v>170</v>
      </c>
      <c r="D20" s="19"/>
      <c r="E20" s="25">
        <v>0.0</v>
      </c>
      <c r="F20" s="19" t="s">
        <v>12</v>
      </c>
      <c r="G20" s="19"/>
      <c r="H20" s="9"/>
      <c r="I20" s="9"/>
      <c r="J20" s="20"/>
      <c r="K20" s="86"/>
      <c r="L20" s="94"/>
    </row>
    <row r="21">
      <c r="A21" s="12" t="s">
        <v>164</v>
      </c>
      <c r="B21" s="19" t="s">
        <v>168</v>
      </c>
      <c r="C21" s="19" t="s">
        <v>171</v>
      </c>
      <c r="D21" s="19"/>
      <c r="E21" s="19">
        <v>1.0</v>
      </c>
      <c r="F21" s="19" t="s">
        <v>12</v>
      </c>
      <c r="G21" s="19"/>
      <c r="H21" s="9"/>
      <c r="I21" s="9"/>
      <c r="J21" s="20"/>
      <c r="K21" s="86"/>
      <c r="L21" s="94"/>
    </row>
    <row r="22">
      <c r="A22" s="12" t="s">
        <v>164</v>
      </c>
      <c r="B22" s="19" t="s">
        <v>172</v>
      </c>
      <c r="C22" s="19" t="s">
        <v>173</v>
      </c>
      <c r="D22" s="19"/>
      <c r="E22" s="19">
        <v>2.0</v>
      </c>
      <c r="F22" s="19"/>
      <c r="G22" s="19"/>
      <c r="H22" s="9"/>
      <c r="I22" s="9"/>
      <c r="J22" s="20"/>
      <c r="K22" s="86"/>
      <c r="L22" s="94"/>
    </row>
    <row r="23">
      <c r="A23" s="12"/>
      <c r="B23" s="19"/>
      <c r="C23" s="19"/>
      <c r="D23" s="19"/>
      <c r="E23" s="19"/>
      <c r="F23" s="19"/>
      <c r="G23" s="19"/>
      <c r="H23" s="9"/>
      <c r="I23" s="9"/>
      <c r="J23" s="20"/>
      <c r="K23" s="86"/>
      <c r="L23" s="94"/>
    </row>
    <row r="24">
      <c r="A24" s="12" t="s">
        <v>174</v>
      </c>
      <c r="B24" s="13" t="s">
        <v>175</v>
      </c>
      <c r="C24" s="13" t="s">
        <v>176</v>
      </c>
      <c r="D24" s="13" t="s">
        <v>17</v>
      </c>
      <c r="E24" s="13">
        <v>1.0</v>
      </c>
      <c r="F24" s="13" t="s">
        <v>12</v>
      </c>
      <c r="G24" s="19"/>
      <c r="H24" s="19"/>
      <c r="I24" s="15">
        <f t="shared" ref="I24:I26" si="2">PRODUCT(E24:H24)</f>
        <v>1</v>
      </c>
      <c r="J24" s="20" t="s">
        <v>127</v>
      </c>
      <c r="K24" s="93"/>
      <c r="L24" s="19" t="s">
        <v>12</v>
      </c>
    </row>
    <row r="25">
      <c r="A25" s="12" t="s">
        <v>174</v>
      </c>
      <c r="B25" s="13" t="s">
        <v>175</v>
      </c>
      <c r="C25" s="13" t="s">
        <v>177</v>
      </c>
      <c r="D25" s="13" t="s">
        <v>178</v>
      </c>
      <c r="E25" s="13">
        <v>1.0</v>
      </c>
      <c r="F25" s="13" t="s">
        <v>12</v>
      </c>
      <c r="G25" s="19"/>
      <c r="H25" s="19"/>
      <c r="I25" s="15">
        <f t="shared" si="2"/>
        <v>1</v>
      </c>
      <c r="J25" s="20" t="s">
        <v>127</v>
      </c>
      <c r="K25" s="93"/>
      <c r="L25" s="19" t="s">
        <v>12</v>
      </c>
    </row>
    <row r="26">
      <c r="A26" s="12" t="s">
        <v>174</v>
      </c>
      <c r="B26" s="13" t="s">
        <v>179</v>
      </c>
      <c r="C26" s="19" t="s">
        <v>159</v>
      </c>
      <c r="D26" s="19" t="s">
        <v>140</v>
      </c>
      <c r="E26" s="19">
        <v>1.0</v>
      </c>
      <c r="F26" s="19" t="s">
        <v>12</v>
      </c>
      <c r="G26" s="19"/>
      <c r="H26" s="19"/>
      <c r="I26" s="15">
        <f t="shared" si="2"/>
        <v>1</v>
      </c>
      <c r="J26" s="20" t="s">
        <v>127</v>
      </c>
      <c r="K26" s="93"/>
      <c r="L26" s="19" t="s">
        <v>12</v>
      </c>
    </row>
    <row r="27">
      <c r="A27" s="12" t="s">
        <v>174</v>
      </c>
      <c r="B27" s="19" t="s">
        <v>180</v>
      </c>
      <c r="C27" s="13" t="s">
        <v>45</v>
      </c>
      <c r="D27" s="19"/>
      <c r="E27" s="13">
        <v>1.0</v>
      </c>
      <c r="F27" s="13" t="s">
        <v>12</v>
      </c>
      <c r="G27" s="19"/>
      <c r="H27" s="19"/>
      <c r="I27" s="78"/>
      <c r="J27" s="20" t="s">
        <v>129</v>
      </c>
      <c r="K27" s="93"/>
      <c r="L27" s="19" t="s">
        <v>12</v>
      </c>
    </row>
    <row r="28">
      <c r="A28" s="12" t="s">
        <v>174</v>
      </c>
      <c r="B28" s="19" t="s">
        <v>180</v>
      </c>
      <c r="C28" s="13" t="s">
        <v>162</v>
      </c>
      <c r="D28" s="19"/>
      <c r="E28" s="13">
        <v>1.0</v>
      </c>
      <c r="F28" s="13" t="s">
        <v>12</v>
      </c>
      <c r="G28" s="13"/>
      <c r="H28" s="19"/>
      <c r="I28" s="15"/>
      <c r="J28" s="20" t="s">
        <v>127</v>
      </c>
      <c r="K28" s="93"/>
      <c r="L28" s="95"/>
    </row>
    <row r="29">
      <c r="A29" s="12" t="s">
        <v>174</v>
      </c>
      <c r="B29" s="13" t="s">
        <v>181</v>
      </c>
      <c r="C29" s="13" t="s">
        <v>182</v>
      </c>
      <c r="D29" s="25" t="s">
        <v>17</v>
      </c>
      <c r="E29" s="25">
        <v>0.0</v>
      </c>
      <c r="F29" s="25" t="s">
        <v>12</v>
      </c>
      <c r="G29" s="13"/>
      <c r="H29" s="19"/>
      <c r="I29" s="15"/>
      <c r="J29" s="20" t="s">
        <v>127</v>
      </c>
      <c r="K29" s="93"/>
      <c r="L29" s="95"/>
    </row>
    <row r="30">
      <c r="A30" s="12" t="s">
        <v>174</v>
      </c>
      <c r="B30" s="19" t="s">
        <v>181</v>
      </c>
      <c r="C30" s="19" t="s">
        <v>182</v>
      </c>
      <c r="D30" s="25" t="s">
        <v>183</v>
      </c>
      <c r="E30" s="25">
        <v>0.0</v>
      </c>
      <c r="F30" s="13" t="s">
        <v>12</v>
      </c>
      <c r="G30" s="13"/>
      <c r="H30" s="19"/>
      <c r="I30" s="15"/>
      <c r="J30" s="20" t="s">
        <v>127</v>
      </c>
      <c r="K30" s="93"/>
      <c r="L30" s="19" t="s">
        <v>12</v>
      </c>
    </row>
    <row r="31">
      <c r="A31" s="12" t="s">
        <v>174</v>
      </c>
      <c r="B31" s="19" t="s">
        <v>181</v>
      </c>
      <c r="C31" s="19" t="s">
        <v>182</v>
      </c>
      <c r="D31" s="19" t="s">
        <v>37</v>
      </c>
      <c r="E31" s="13">
        <v>1.0</v>
      </c>
      <c r="F31" s="13" t="s">
        <v>12</v>
      </c>
      <c r="G31" s="13"/>
      <c r="H31" s="19"/>
      <c r="I31" s="15"/>
      <c r="J31" s="20"/>
      <c r="K31" s="93"/>
      <c r="L31" s="19"/>
    </row>
    <row r="32">
      <c r="A32" s="12" t="s">
        <v>174</v>
      </c>
      <c r="B32" s="19" t="s">
        <v>181</v>
      </c>
      <c r="C32" s="96" t="s">
        <v>184</v>
      </c>
      <c r="D32" s="13" t="s">
        <v>185</v>
      </c>
      <c r="E32" s="13">
        <v>1.0</v>
      </c>
      <c r="F32" s="13" t="s">
        <v>12</v>
      </c>
      <c r="G32" s="13"/>
      <c r="H32" s="19"/>
      <c r="I32" s="15"/>
      <c r="J32" s="20" t="s">
        <v>127</v>
      </c>
      <c r="K32" s="93"/>
      <c r="L32" s="19" t="s">
        <v>12</v>
      </c>
    </row>
    <row r="33">
      <c r="A33" s="12" t="s">
        <v>174</v>
      </c>
      <c r="B33" s="25" t="s">
        <v>181</v>
      </c>
      <c r="C33" s="96" t="s">
        <v>184</v>
      </c>
      <c r="D33" s="25" t="s">
        <v>186</v>
      </c>
      <c r="E33" s="25">
        <v>0.0</v>
      </c>
      <c r="F33" s="19" t="s">
        <v>12</v>
      </c>
      <c r="G33" s="13"/>
      <c r="H33" s="19"/>
      <c r="I33" s="15"/>
      <c r="J33" s="20" t="s">
        <v>127</v>
      </c>
      <c r="K33" s="93"/>
      <c r="L33" s="95"/>
    </row>
    <row r="34">
      <c r="A34" s="12" t="s">
        <v>187</v>
      </c>
      <c r="B34" s="19" t="s">
        <v>188</v>
      </c>
      <c r="C34" s="19" t="s">
        <v>140</v>
      </c>
      <c r="D34" s="19" t="s">
        <v>140</v>
      </c>
      <c r="E34" s="13">
        <v>1.0</v>
      </c>
      <c r="F34" s="13" t="s">
        <v>12</v>
      </c>
      <c r="G34" s="13"/>
      <c r="H34" s="19">
        <v>6.0</v>
      </c>
      <c r="I34" s="15">
        <f t="shared" ref="I34:I37" si="3">PRODUCT(E34:H34)</f>
        <v>6</v>
      </c>
      <c r="J34" s="20" t="s">
        <v>127</v>
      </c>
      <c r="K34" s="93"/>
      <c r="L34" s="19" t="s">
        <v>12</v>
      </c>
    </row>
    <row r="35">
      <c r="A35" s="12" t="s">
        <v>187</v>
      </c>
      <c r="B35" s="19" t="s">
        <v>189</v>
      </c>
      <c r="C35" s="19" t="s">
        <v>140</v>
      </c>
      <c r="D35" s="19" t="s">
        <v>140</v>
      </c>
      <c r="E35" s="19">
        <v>1.0</v>
      </c>
      <c r="F35" s="19" t="s">
        <v>12</v>
      </c>
      <c r="G35" s="19"/>
      <c r="H35" s="19">
        <v>6.0</v>
      </c>
      <c r="I35" s="15">
        <f t="shared" si="3"/>
        <v>6</v>
      </c>
      <c r="J35" s="20" t="s">
        <v>127</v>
      </c>
      <c r="K35" s="93"/>
      <c r="L35" s="19" t="s">
        <v>12</v>
      </c>
    </row>
    <row r="36">
      <c r="A36" s="12" t="s">
        <v>187</v>
      </c>
      <c r="B36" s="13" t="s">
        <v>190</v>
      </c>
      <c r="C36" s="13" t="s">
        <v>140</v>
      </c>
      <c r="D36" s="13" t="s">
        <v>140</v>
      </c>
      <c r="E36" s="13">
        <v>1.0</v>
      </c>
      <c r="F36" s="13" t="s">
        <v>12</v>
      </c>
      <c r="G36" s="13"/>
      <c r="H36" s="19">
        <v>6.0</v>
      </c>
      <c r="I36" s="15">
        <f t="shared" si="3"/>
        <v>6</v>
      </c>
      <c r="J36" s="20" t="s">
        <v>127</v>
      </c>
      <c r="K36" s="93"/>
      <c r="L36" s="19" t="s">
        <v>12</v>
      </c>
    </row>
    <row r="37">
      <c r="A37" s="12" t="s">
        <v>187</v>
      </c>
      <c r="B37" s="19" t="s">
        <v>191</v>
      </c>
      <c r="C37" s="19" t="s">
        <v>140</v>
      </c>
      <c r="D37" s="19" t="s">
        <v>140</v>
      </c>
      <c r="E37" s="19">
        <v>1.0</v>
      </c>
      <c r="F37" s="19" t="s">
        <v>12</v>
      </c>
      <c r="G37" s="19"/>
      <c r="H37" s="19">
        <v>6.0</v>
      </c>
      <c r="I37" s="15">
        <f t="shared" si="3"/>
        <v>6</v>
      </c>
      <c r="J37" s="20" t="s">
        <v>127</v>
      </c>
      <c r="K37" s="86"/>
      <c r="L37" s="95"/>
    </row>
    <row r="38">
      <c r="A38" s="12" t="s">
        <v>187</v>
      </c>
      <c r="B38" s="19" t="s">
        <v>192</v>
      </c>
      <c r="C38" s="19" t="s">
        <v>140</v>
      </c>
      <c r="D38" s="19" t="s">
        <v>140</v>
      </c>
      <c r="E38" s="19">
        <v>1.0</v>
      </c>
      <c r="F38" s="19" t="s">
        <v>12</v>
      </c>
      <c r="G38" s="9"/>
      <c r="H38" s="9"/>
      <c r="I38" s="9"/>
      <c r="J38" s="20"/>
      <c r="K38" s="86"/>
      <c r="L38" s="94"/>
    </row>
    <row r="39">
      <c r="A39" s="12"/>
      <c r="B39" s="9"/>
      <c r="C39" s="9"/>
      <c r="D39" s="9"/>
      <c r="E39" s="9"/>
      <c r="F39" s="9"/>
      <c r="G39" s="9"/>
      <c r="H39" s="9"/>
      <c r="I39" s="9"/>
      <c r="J39" s="20"/>
      <c r="K39" s="86"/>
      <c r="L39" s="94"/>
    </row>
    <row r="40">
      <c r="A40" s="12" t="s">
        <v>193</v>
      </c>
      <c r="B40" s="19" t="s">
        <v>194</v>
      </c>
      <c r="C40" s="19" t="s">
        <v>17</v>
      </c>
      <c r="D40" s="9"/>
      <c r="E40" s="19">
        <v>0.0</v>
      </c>
      <c r="F40" s="19"/>
      <c r="G40" s="19"/>
      <c r="H40" s="19">
        <v>5.0</v>
      </c>
      <c r="I40" s="15">
        <f t="shared" ref="I40:I45" si="4">PRODUCT(E40:H40)</f>
        <v>0</v>
      </c>
      <c r="J40" s="20" t="s">
        <v>127</v>
      </c>
      <c r="K40" s="93"/>
      <c r="L40" s="19" t="s">
        <v>12</v>
      </c>
    </row>
    <row r="41">
      <c r="A41" s="12" t="s">
        <v>193</v>
      </c>
      <c r="B41" s="19" t="s">
        <v>194</v>
      </c>
      <c r="C41" s="19" t="s">
        <v>195</v>
      </c>
      <c r="D41" s="9"/>
      <c r="E41" s="19">
        <v>7.0</v>
      </c>
      <c r="F41" s="19" t="s">
        <v>12</v>
      </c>
      <c r="G41" s="19"/>
      <c r="H41" s="19">
        <v>5.0</v>
      </c>
      <c r="I41" s="15">
        <f t="shared" si="4"/>
        <v>35</v>
      </c>
      <c r="J41" s="20" t="s">
        <v>127</v>
      </c>
      <c r="K41" s="93"/>
      <c r="L41" s="19" t="s">
        <v>12</v>
      </c>
    </row>
    <row r="42">
      <c r="A42" s="12" t="s">
        <v>193</v>
      </c>
      <c r="B42" s="19" t="s">
        <v>196</v>
      </c>
      <c r="C42" s="19" t="s">
        <v>140</v>
      </c>
      <c r="D42" s="9"/>
      <c r="E42" s="19">
        <v>3.0</v>
      </c>
      <c r="F42" s="19" t="s">
        <v>12</v>
      </c>
      <c r="G42" s="19"/>
      <c r="H42" s="19">
        <v>5.0</v>
      </c>
      <c r="I42" s="15">
        <f t="shared" si="4"/>
        <v>15</v>
      </c>
      <c r="J42" s="20" t="s">
        <v>127</v>
      </c>
      <c r="K42" s="93"/>
      <c r="L42" s="19" t="s">
        <v>12</v>
      </c>
    </row>
    <row r="43">
      <c r="A43" s="12" t="s">
        <v>193</v>
      </c>
      <c r="B43" s="19" t="s">
        <v>197</v>
      </c>
      <c r="C43" s="19" t="s">
        <v>140</v>
      </c>
      <c r="D43" s="9"/>
      <c r="E43" s="19">
        <v>8.0</v>
      </c>
      <c r="F43" s="19" t="s">
        <v>12</v>
      </c>
      <c r="G43" s="19"/>
      <c r="H43" s="19">
        <v>5.0</v>
      </c>
      <c r="I43" s="15">
        <f t="shared" si="4"/>
        <v>40</v>
      </c>
      <c r="J43" s="20" t="s">
        <v>127</v>
      </c>
      <c r="K43" s="93"/>
      <c r="L43" s="19" t="s">
        <v>12</v>
      </c>
    </row>
    <row r="44">
      <c r="A44" s="12" t="s">
        <v>193</v>
      </c>
      <c r="B44" s="19" t="s">
        <v>198</v>
      </c>
      <c r="C44" s="19" t="s">
        <v>140</v>
      </c>
      <c r="D44" s="9"/>
      <c r="E44" s="19">
        <v>9.0</v>
      </c>
      <c r="F44" s="19" t="s">
        <v>12</v>
      </c>
      <c r="G44" s="19"/>
      <c r="H44" s="19">
        <v>5.0</v>
      </c>
      <c r="I44" s="15">
        <f t="shared" si="4"/>
        <v>45</v>
      </c>
      <c r="J44" s="20" t="s">
        <v>127</v>
      </c>
      <c r="K44" s="93"/>
      <c r="L44" s="19" t="s">
        <v>12</v>
      </c>
    </row>
    <row r="45">
      <c r="A45" s="12" t="s">
        <v>193</v>
      </c>
      <c r="B45" s="19" t="s">
        <v>199</v>
      </c>
      <c r="C45" s="19" t="s">
        <v>140</v>
      </c>
      <c r="D45" s="9"/>
      <c r="E45" s="19">
        <v>2.0</v>
      </c>
      <c r="F45" s="19" t="s">
        <v>12</v>
      </c>
      <c r="G45" s="19"/>
      <c r="H45" s="19">
        <v>5.0</v>
      </c>
      <c r="I45" s="15">
        <f t="shared" si="4"/>
        <v>10</v>
      </c>
      <c r="J45" s="20" t="s">
        <v>127</v>
      </c>
      <c r="K45" s="93"/>
      <c r="L45" s="19" t="s">
        <v>12</v>
      </c>
    </row>
    <row r="46">
      <c r="A46" s="12"/>
      <c r="B46" s="9"/>
      <c r="C46" s="9"/>
      <c r="D46" s="9"/>
      <c r="E46" s="9"/>
      <c r="F46" s="9"/>
      <c r="G46" s="9"/>
      <c r="H46" s="9"/>
      <c r="I46" s="9"/>
      <c r="J46" s="20"/>
      <c r="K46" s="86"/>
      <c r="L46" s="94"/>
    </row>
    <row r="47">
      <c r="A47" s="12" t="s">
        <v>200</v>
      </c>
      <c r="B47" s="19" t="s">
        <v>201</v>
      </c>
      <c r="C47" s="19" t="s">
        <v>202</v>
      </c>
      <c r="D47" s="19" t="s">
        <v>140</v>
      </c>
      <c r="E47" s="19">
        <v>3.0</v>
      </c>
      <c r="F47" s="19" t="s">
        <v>12</v>
      </c>
      <c r="G47" s="19"/>
      <c r="H47" s="19">
        <v>6.0</v>
      </c>
      <c r="I47" s="15">
        <f t="shared" ref="I47:I48" si="5">PRODUCT(E47:H47)</f>
        <v>18</v>
      </c>
      <c r="J47" s="20" t="s">
        <v>127</v>
      </c>
      <c r="K47" s="93"/>
      <c r="L47" s="19" t="s">
        <v>12</v>
      </c>
    </row>
    <row r="48">
      <c r="A48" s="12" t="s">
        <v>200</v>
      </c>
      <c r="B48" s="19" t="s">
        <v>201</v>
      </c>
      <c r="C48" s="19" t="s">
        <v>203</v>
      </c>
      <c r="D48" s="19" t="s">
        <v>82</v>
      </c>
      <c r="E48" s="25">
        <v>0.0</v>
      </c>
      <c r="F48" s="25"/>
      <c r="G48" s="19"/>
      <c r="H48" s="19">
        <v>6.0</v>
      </c>
      <c r="I48" s="15">
        <f t="shared" si="5"/>
        <v>0</v>
      </c>
      <c r="J48" s="20" t="s">
        <v>127</v>
      </c>
      <c r="K48" s="93"/>
      <c r="L48" s="95"/>
    </row>
    <row r="49">
      <c r="A49" s="12"/>
      <c r="B49" s="9"/>
      <c r="C49" s="9"/>
      <c r="D49" s="9"/>
      <c r="E49" s="9"/>
      <c r="F49" s="9"/>
      <c r="G49" s="9"/>
      <c r="H49" s="9"/>
      <c r="I49" s="9"/>
      <c r="J49" s="20"/>
      <c r="K49" s="86"/>
      <c r="L49" s="94"/>
    </row>
    <row r="50">
      <c r="A50" s="12"/>
      <c r="B50" s="9"/>
      <c r="C50" s="9"/>
      <c r="D50" s="9"/>
      <c r="E50" s="9"/>
      <c r="F50" s="9"/>
      <c r="G50" s="9"/>
      <c r="H50" s="9"/>
      <c r="I50" s="9"/>
      <c r="J50" s="20"/>
      <c r="K50" s="86"/>
      <c r="L50" s="94"/>
    </row>
    <row r="51">
      <c r="A51" s="12"/>
      <c r="B51" s="9"/>
      <c r="C51" s="9"/>
      <c r="D51" s="9"/>
      <c r="E51" s="9"/>
      <c r="F51" s="9"/>
      <c r="G51" s="9"/>
      <c r="H51" s="9"/>
      <c r="I51" s="9"/>
      <c r="J51" s="20"/>
      <c r="K51" s="86"/>
      <c r="L51" s="94"/>
    </row>
    <row r="52">
      <c r="A52" s="12" t="s">
        <v>204</v>
      </c>
      <c r="B52" s="19" t="s">
        <v>140</v>
      </c>
      <c r="C52" s="19" t="s">
        <v>140</v>
      </c>
      <c r="D52" s="19" t="s">
        <v>140</v>
      </c>
      <c r="E52" s="19">
        <v>6.0</v>
      </c>
      <c r="F52" s="19" t="s">
        <v>12</v>
      </c>
      <c r="G52" s="13"/>
      <c r="H52" s="19">
        <v>25.0</v>
      </c>
      <c r="I52" s="15">
        <f t="shared" ref="I52:I55" si="6">PRODUCT(E52:H52)</f>
        <v>150</v>
      </c>
      <c r="J52" s="20" t="s">
        <v>127</v>
      </c>
      <c r="K52" s="93"/>
      <c r="L52" s="95"/>
    </row>
    <row r="53">
      <c r="A53" s="12" t="s">
        <v>205</v>
      </c>
      <c r="B53" s="13" t="s">
        <v>206</v>
      </c>
      <c r="C53" s="13" t="s">
        <v>207</v>
      </c>
      <c r="D53" s="13" t="s">
        <v>208</v>
      </c>
      <c r="E53" s="13">
        <v>0.0</v>
      </c>
      <c r="F53" s="13" t="s">
        <v>12</v>
      </c>
      <c r="G53" s="13"/>
      <c r="H53" s="19">
        <v>40.0</v>
      </c>
      <c r="I53" s="15">
        <f t="shared" si="6"/>
        <v>0</v>
      </c>
      <c r="J53" s="20" t="s">
        <v>127</v>
      </c>
      <c r="K53" s="93"/>
      <c r="L53" s="19" t="s">
        <v>12</v>
      </c>
    </row>
    <row r="54">
      <c r="A54" s="12" t="s">
        <v>209</v>
      </c>
      <c r="B54" s="13" t="s">
        <v>210</v>
      </c>
      <c r="C54" s="13" t="s">
        <v>155</v>
      </c>
      <c r="D54" s="13" t="s">
        <v>140</v>
      </c>
      <c r="E54" s="13">
        <v>7.0</v>
      </c>
      <c r="F54" s="19" t="s">
        <v>12</v>
      </c>
      <c r="G54" s="13"/>
      <c r="H54" s="19">
        <v>38.0</v>
      </c>
      <c r="I54" s="15">
        <f t="shared" si="6"/>
        <v>266</v>
      </c>
      <c r="J54" s="20" t="s">
        <v>127</v>
      </c>
      <c r="K54" s="93"/>
      <c r="L54" s="95"/>
    </row>
    <row r="55">
      <c r="A55" s="12" t="s">
        <v>209</v>
      </c>
      <c r="B55" s="13" t="s">
        <v>211</v>
      </c>
      <c r="C55" s="13" t="s">
        <v>212</v>
      </c>
      <c r="D55" s="13" t="s">
        <v>140</v>
      </c>
      <c r="E55" s="13">
        <v>2.0</v>
      </c>
      <c r="F55" s="13" t="s">
        <v>12</v>
      </c>
      <c r="G55" s="19"/>
      <c r="H55" s="19">
        <v>72.0</v>
      </c>
      <c r="I55" s="15">
        <f t="shared" si="6"/>
        <v>144</v>
      </c>
      <c r="J55" s="20" t="s">
        <v>127</v>
      </c>
      <c r="K55" s="93"/>
      <c r="L55" s="19" t="s">
        <v>12</v>
      </c>
    </row>
    <row r="56">
      <c r="A56" s="12" t="s">
        <v>213</v>
      </c>
      <c r="B56" s="9"/>
      <c r="C56" s="19" t="s">
        <v>214</v>
      </c>
      <c r="D56" s="9"/>
      <c r="E56" s="19">
        <v>8.0</v>
      </c>
      <c r="F56" s="19" t="s">
        <v>12</v>
      </c>
      <c r="G56" s="9"/>
      <c r="H56" s="9"/>
      <c r="I56" s="9"/>
      <c r="J56" s="20"/>
      <c r="K56" s="86"/>
      <c r="L56" s="19" t="s">
        <v>12</v>
      </c>
    </row>
    <row r="57">
      <c r="A57" s="12"/>
      <c r="B57" s="9"/>
      <c r="C57" s="9"/>
      <c r="D57" s="9"/>
      <c r="E57" s="9"/>
      <c r="F57" s="9"/>
      <c r="G57" s="9"/>
      <c r="H57" s="9"/>
      <c r="I57" s="9"/>
      <c r="J57" s="20"/>
      <c r="K57" s="86"/>
      <c r="L57" s="94"/>
    </row>
    <row r="58">
      <c r="A58" s="12" t="s">
        <v>215</v>
      </c>
      <c r="B58" s="25" t="s">
        <v>216</v>
      </c>
      <c r="C58" s="19" t="s">
        <v>140</v>
      </c>
      <c r="D58" s="19" t="s">
        <v>140</v>
      </c>
      <c r="E58" s="25">
        <v>0.0</v>
      </c>
      <c r="F58" s="19" t="s">
        <v>12</v>
      </c>
      <c r="G58" s="13"/>
      <c r="H58" s="19">
        <v>60.0</v>
      </c>
      <c r="I58" s="15">
        <f t="shared" ref="I58:I60" si="7">PRODUCT(E58:H58)</f>
        <v>0</v>
      </c>
      <c r="J58" s="20" t="s">
        <v>127</v>
      </c>
      <c r="K58" s="93" t="s">
        <v>12</v>
      </c>
      <c r="L58" s="95"/>
    </row>
    <row r="59">
      <c r="A59" s="12" t="s">
        <v>215</v>
      </c>
      <c r="B59" s="19" t="s">
        <v>217</v>
      </c>
      <c r="C59" s="19" t="s">
        <v>140</v>
      </c>
      <c r="D59" s="19" t="s">
        <v>140</v>
      </c>
      <c r="E59" s="19">
        <v>1.0</v>
      </c>
      <c r="F59" s="19" t="s">
        <v>12</v>
      </c>
      <c r="G59" s="13"/>
      <c r="H59" s="19">
        <v>60.0</v>
      </c>
      <c r="I59" s="15">
        <f t="shared" si="7"/>
        <v>60</v>
      </c>
      <c r="J59" s="20" t="s">
        <v>127</v>
      </c>
      <c r="K59" s="93" t="s">
        <v>12</v>
      </c>
      <c r="L59" s="95"/>
    </row>
    <row r="60">
      <c r="A60" s="12" t="s">
        <v>215</v>
      </c>
      <c r="B60" s="13" t="s">
        <v>158</v>
      </c>
      <c r="C60" s="13" t="s">
        <v>140</v>
      </c>
      <c r="D60" s="13" t="s">
        <v>140</v>
      </c>
      <c r="E60" s="13">
        <v>1.0</v>
      </c>
      <c r="F60" s="13"/>
      <c r="G60" s="13"/>
      <c r="H60" s="19">
        <v>60.0</v>
      </c>
      <c r="I60" s="15">
        <f t="shared" si="7"/>
        <v>60</v>
      </c>
      <c r="J60" s="20" t="s">
        <v>129</v>
      </c>
      <c r="K60" s="93" t="s">
        <v>12</v>
      </c>
      <c r="L60" s="95"/>
    </row>
    <row r="61">
      <c r="A61" s="12" t="s">
        <v>215</v>
      </c>
      <c r="B61" s="13" t="s">
        <v>60</v>
      </c>
      <c r="C61" s="13" t="s">
        <v>140</v>
      </c>
      <c r="D61" s="13" t="s">
        <v>140</v>
      </c>
      <c r="E61" s="13">
        <v>2.0</v>
      </c>
      <c r="F61" s="13" t="s">
        <v>12</v>
      </c>
      <c r="G61" s="13"/>
      <c r="H61" s="19"/>
      <c r="I61" s="15"/>
      <c r="J61" s="20" t="s">
        <v>127</v>
      </c>
      <c r="K61" s="93" t="s">
        <v>12</v>
      </c>
      <c r="L61" s="95"/>
    </row>
    <row r="62">
      <c r="A62" s="12" t="s">
        <v>215</v>
      </c>
      <c r="B62" s="25" t="s">
        <v>218</v>
      </c>
      <c r="C62" s="19"/>
      <c r="D62" s="19"/>
      <c r="E62" s="25">
        <v>0.0</v>
      </c>
      <c r="F62" s="19"/>
      <c r="G62" s="13"/>
      <c r="H62" s="19"/>
      <c r="I62" s="15"/>
      <c r="J62" s="20" t="s">
        <v>129</v>
      </c>
      <c r="K62" s="93" t="s">
        <v>12</v>
      </c>
      <c r="L62" s="95"/>
    </row>
    <row r="63">
      <c r="A63" s="12" t="s">
        <v>215</v>
      </c>
      <c r="B63" s="13" t="s">
        <v>219</v>
      </c>
      <c r="C63" s="13" t="s">
        <v>140</v>
      </c>
      <c r="D63" s="13" t="s">
        <v>140</v>
      </c>
      <c r="E63" s="13">
        <v>1.0</v>
      </c>
      <c r="F63" s="19"/>
      <c r="G63" s="13"/>
      <c r="H63" s="19"/>
      <c r="I63" s="15"/>
      <c r="J63" s="20" t="s">
        <v>127</v>
      </c>
      <c r="K63" s="93" t="s">
        <v>12</v>
      </c>
      <c r="L63" s="95"/>
    </row>
    <row r="64">
      <c r="A64" s="12" t="s">
        <v>215</v>
      </c>
      <c r="B64" s="25" t="s">
        <v>220</v>
      </c>
      <c r="C64" s="19"/>
      <c r="D64" s="19"/>
      <c r="E64" s="97">
        <v>0.0</v>
      </c>
      <c r="F64" s="19"/>
      <c r="G64" s="13"/>
      <c r="H64" s="19"/>
      <c r="I64" s="15"/>
      <c r="J64" s="20"/>
      <c r="K64" s="93"/>
      <c r="L64" s="19"/>
    </row>
    <row r="65">
      <c r="A65" s="12" t="s">
        <v>221</v>
      </c>
      <c r="B65" s="19" t="s">
        <v>140</v>
      </c>
      <c r="C65" s="19" t="s">
        <v>140</v>
      </c>
      <c r="D65" s="19" t="s">
        <v>140</v>
      </c>
      <c r="E65" s="35">
        <v>2.0</v>
      </c>
      <c r="F65" s="19" t="s">
        <v>12</v>
      </c>
      <c r="G65" s="13"/>
      <c r="H65" s="19">
        <v>30.0</v>
      </c>
      <c r="I65" s="15">
        <f>PRODUCT(E65:H65)</f>
        <v>60</v>
      </c>
      <c r="J65" s="20" t="s">
        <v>129</v>
      </c>
      <c r="K65" s="93"/>
      <c r="L65" s="19" t="s">
        <v>12</v>
      </c>
    </row>
    <row r="66">
      <c r="B66" s="19"/>
      <c r="C66" s="9"/>
      <c r="D66" s="9"/>
      <c r="E66" s="19"/>
      <c r="F66" s="19"/>
      <c r="G66" s="9"/>
      <c r="H66" s="9"/>
      <c r="I66" s="9"/>
      <c r="J66" s="20"/>
      <c r="K66" s="86"/>
      <c r="L66" s="94"/>
    </row>
    <row r="67">
      <c r="A67" s="12"/>
      <c r="B67" s="19"/>
      <c r="C67" s="9"/>
      <c r="D67" s="9"/>
      <c r="E67" s="19"/>
      <c r="F67" s="19"/>
      <c r="G67" s="9"/>
      <c r="H67" s="9"/>
      <c r="I67" s="9"/>
      <c r="J67" s="20"/>
      <c r="K67" s="86"/>
      <c r="L67" s="94"/>
    </row>
    <row r="68">
      <c r="A68" s="12" t="s">
        <v>222</v>
      </c>
      <c r="B68" s="25" t="s">
        <v>60</v>
      </c>
      <c r="C68" s="9"/>
      <c r="D68" s="9"/>
      <c r="E68" s="25">
        <v>0.0</v>
      </c>
      <c r="F68" s="19"/>
      <c r="G68" s="9"/>
      <c r="H68" s="9"/>
      <c r="I68" s="9"/>
      <c r="J68" s="20"/>
      <c r="K68" s="86"/>
      <c r="L68" s="94"/>
    </row>
    <row r="69">
      <c r="A69" s="12" t="s">
        <v>223</v>
      </c>
      <c r="B69" s="25" t="s">
        <v>158</v>
      </c>
      <c r="C69" s="19" t="s">
        <v>224</v>
      </c>
      <c r="D69" s="9"/>
      <c r="E69" s="25">
        <v>0.0</v>
      </c>
      <c r="F69" s="19"/>
      <c r="G69" s="9"/>
      <c r="H69" s="9"/>
      <c r="I69" s="9"/>
      <c r="J69" s="20"/>
      <c r="K69" s="86"/>
      <c r="L69" s="19" t="s">
        <v>12</v>
      </c>
    </row>
    <row r="70">
      <c r="A70" s="12"/>
      <c r="B70" s="9"/>
      <c r="C70" s="9"/>
      <c r="D70" s="9"/>
      <c r="E70" s="9"/>
      <c r="F70" s="9"/>
      <c r="G70" s="9"/>
      <c r="H70" s="9"/>
      <c r="I70" s="9"/>
      <c r="J70" s="20"/>
      <c r="K70" s="86"/>
      <c r="L70" s="94"/>
    </row>
    <row r="71">
      <c r="A71" s="12" t="s">
        <v>225</v>
      </c>
      <c r="B71" s="25" t="s">
        <v>226</v>
      </c>
      <c r="C71" s="25" t="s">
        <v>180</v>
      </c>
      <c r="D71" s="13" t="s">
        <v>180</v>
      </c>
      <c r="E71" s="25">
        <v>0.0</v>
      </c>
      <c r="F71" s="19"/>
      <c r="G71" s="19"/>
      <c r="H71" s="19">
        <v>39.0</v>
      </c>
      <c r="I71" s="15">
        <f t="shared" ref="I71:I72" si="8">PRODUCT(E71:H71)</f>
        <v>0</v>
      </c>
      <c r="J71" s="20" t="s">
        <v>127</v>
      </c>
      <c r="K71" s="93"/>
      <c r="L71" s="19" t="s">
        <v>12</v>
      </c>
    </row>
    <row r="72">
      <c r="A72" s="12" t="s">
        <v>225</v>
      </c>
      <c r="B72" s="13" t="s">
        <v>227</v>
      </c>
      <c r="C72" s="13" t="s">
        <v>143</v>
      </c>
      <c r="D72" s="13" t="s">
        <v>155</v>
      </c>
      <c r="E72" s="13">
        <v>3.0</v>
      </c>
      <c r="F72" s="19"/>
      <c r="G72" s="19"/>
      <c r="H72" s="19">
        <v>39.0</v>
      </c>
      <c r="I72" s="15">
        <f t="shared" si="8"/>
        <v>117</v>
      </c>
      <c r="J72" s="20" t="s">
        <v>127</v>
      </c>
      <c r="K72" s="93"/>
      <c r="L72" s="19" t="s">
        <v>12</v>
      </c>
    </row>
    <row r="73">
      <c r="A73" s="12" t="s">
        <v>225</v>
      </c>
      <c r="B73" s="13" t="s">
        <v>228</v>
      </c>
      <c r="C73" s="13" t="s">
        <v>143</v>
      </c>
      <c r="D73" s="13" t="s">
        <v>155</v>
      </c>
      <c r="E73" s="13">
        <v>4.0</v>
      </c>
      <c r="F73" s="19" t="s">
        <v>229</v>
      </c>
      <c r="G73" s="19"/>
      <c r="H73" s="19"/>
      <c r="I73" s="15"/>
      <c r="J73" s="20" t="s">
        <v>127</v>
      </c>
      <c r="K73" s="93"/>
      <c r="L73" s="19"/>
    </row>
    <row r="74">
      <c r="A74" s="12" t="s">
        <v>225</v>
      </c>
      <c r="B74" s="25" t="s">
        <v>44</v>
      </c>
      <c r="C74" s="13" t="s">
        <v>143</v>
      </c>
      <c r="D74" s="13" t="s">
        <v>155</v>
      </c>
      <c r="E74" s="25">
        <v>0.0</v>
      </c>
      <c r="F74" s="19"/>
      <c r="G74" s="19"/>
      <c r="H74" s="19">
        <v>39.0</v>
      </c>
      <c r="I74" s="15">
        <f t="shared" ref="I74:I82" si="9">PRODUCT(E74:H74)</f>
        <v>0</v>
      </c>
      <c r="J74" s="20" t="s">
        <v>129</v>
      </c>
      <c r="K74" s="93"/>
      <c r="L74" s="95"/>
    </row>
    <row r="75">
      <c r="A75" s="12" t="s">
        <v>225</v>
      </c>
      <c r="B75" s="13" t="s">
        <v>14</v>
      </c>
      <c r="C75" s="13" t="s">
        <v>143</v>
      </c>
      <c r="D75" s="13" t="s">
        <v>155</v>
      </c>
      <c r="E75" s="13">
        <v>3.0</v>
      </c>
      <c r="F75" s="19"/>
      <c r="G75" s="19"/>
      <c r="H75" s="19">
        <v>39.0</v>
      </c>
      <c r="I75" s="15">
        <f t="shared" si="9"/>
        <v>117</v>
      </c>
      <c r="J75" s="20" t="s">
        <v>127</v>
      </c>
      <c r="K75" s="93"/>
      <c r="L75" s="95"/>
    </row>
    <row r="76">
      <c r="A76" s="12" t="s">
        <v>225</v>
      </c>
      <c r="B76" s="13" t="s">
        <v>46</v>
      </c>
      <c r="C76" s="13" t="s">
        <v>143</v>
      </c>
      <c r="D76" s="13" t="s">
        <v>155</v>
      </c>
      <c r="E76" s="13">
        <v>1.0</v>
      </c>
      <c r="F76" s="19"/>
      <c r="G76" s="13"/>
      <c r="H76" s="19">
        <v>39.0</v>
      </c>
      <c r="I76" s="15">
        <f t="shared" si="9"/>
        <v>39</v>
      </c>
      <c r="J76" s="20" t="s">
        <v>127</v>
      </c>
      <c r="K76" s="93"/>
      <c r="L76" s="95"/>
    </row>
    <row r="77">
      <c r="A77" s="12" t="s">
        <v>225</v>
      </c>
      <c r="B77" s="13" t="s">
        <v>17</v>
      </c>
      <c r="C77" s="13" t="s">
        <v>143</v>
      </c>
      <c r="D77" s="13" t="s">
        <v>155</v>
      </c>
      <c r="E77" s="13">
        <v>4.0</v>
      </c>
      <c r="F77" s="19"/>
      <c r="G77" s="19"/>
      <c r="H77" s="19">
        <v>39.0</v>
      </c>
      <c r="I77" s="15">
        <f t="shared" si="9"/>
        <v>156</v>
      </c>
      <c r="J77" s="20" t="s">
        <v>127</v>
      </c>
      <c r="K77" s="93"/>
      <c r="L77" s="19" t="s">
        <v>12</v>
      </c>
    </row>
    <row r="78">
      <c r="A78" s="12" t="s">
        <v>225</v>
      </c>
      <c r="B78" s="13" t="s">
        <v>159</v>
      </c>
      <c r="C78" s="13" t="s">
        <v>143</v>
      </c>
      <c r="D78" s="13" t="s">
        <v>155</v>
      </c>
      <c r="E78" s="13">
        <v>4.0</v>
      </c>
      <c r="F78" s="19"/>
      <c r="G78" s="19"/>
      <c r="H78" s="19">
        <v>39.0</v>
      </c>
      <c r="I78" s="15">
        <f t="shared" si="9"/>
        <v>156</v>
      </c>
      <c r="J78" s="20" t="s">
        <v>127</v>
      </c>
      <c r="K78" s="93"/>
      <c r="L78" s="95"/>
    </row>
    <row r="79">
      <c r="A79" s="12" t="s">
        <v>225</v>
      </c>
      <c r="B79" s="13" t="s">
        <v>230</v>
      </c>
      <c r="C79" s="13" t="s">
        <v>143</v>
      </c>
      <c r="D79" s="13" t="s">
        <v>155</v>
      </c>
      <c r="E79" s="13">
        <v>1.0</v>
      </c>
      <c r="F79" s="19"/>
      <c r="G79" s="13"/>
      <c r="H79" s="19">
        <v>39.0</v>
      </c>
      <c r="I79" s="15">
        <f t="shared" si="9"/>
        <v>39</v>
      </c>
      <c r="J79" s="20" t="s">
        <v>127</v>
      </c>
      <c r="K79" s="93"/>
      <c r="L79" s="19" t="s">
        <v>12</v>
      </c>
    </row>
    <row r="80">
      <c r="A80" s="12" t="s">
        <v>225</v>
      </c>
      <c r="B80" s="13" t="s">
        <v>30</v>
      </c>
      <c r="C80" s="19" t="s">
        <v>143</v>
      </c>
      <c r="D80" s="19" t="s">
        <v>155</v>
      </c>
      <c r="E80" s="13">
        <v>2.0</v>
      </c>
      <c r="F80" s="19"/>
      <c r="G80" s="19"/>
      <c r="H80" s="19">
        <v>39.0</v>
      </c>
      <c r="I80" s="15">
        <f t="shared" si="9"/>
        <v>78</v>
      </c>
      <c r="J80" s="20" t="s">
        <v>127</v>
      </c>
      <c r="K80" s="93"/>
      <c r="L80" s="95"/>
    </row>
    <row r="81">
      <c r="A81" s="12" t="s">
        <v>225</v>
      </c>
      <c r="B81" s="13" t="s">
        <v>18</v>
      </c>
      <c r="C81" s="13" t="s">
        <v>143</v>
      </c>
      <c r="D81" s="13" t="s">
        <v>155</v>
      </c>
      <c r="E81" s="13">
        <v>4.0</v>
      </c>
      <c r="F81" s="19"/>
      <c r="G81" s="19"/>
      <c r="H81" s="19">
        <v>39.0</v>
      </c>
      <c r="I81" s="15">
        <f t="shared" si="9"/>
        <v>156</v>
      </c>
      <c r="J81" s="20" t="s">
        <v>127</v>
      </c>
      <c r="K81" s="93"/>
      <c r="L81" s="19" t="s">
        <v>12</v>
      </c>
    </row>
    <row r="82">
      <c r="A82" s="12" t="s">
        <v>225</v>
      </c>
      <c r="B82" s="13" t="s">
        <v>35</v>
      </c>
      <c r="C82" s="13" t="s">
        <v>143</v>
      </c>
      <c r="D82" s="13" t="s">
        <v>155</v>
      </c>
      <c r="E82" s="13">
        <v>4.0</v>
      </c>
      <c r="F82" s="19"/>
      <c r="G82" s="13"/>
      <c r="H82" s="19">
        <v>39.0</v>
      </c>
      <c r="I82" s="15">
        <f t="shared" si="9"/>
        <v>156</v>
      </c>
      <c r="J82" s="20" t="s">
        <v>127</v>
      </c>
      <c r="K82" s="13"/>
      <c r="L82" s="19" t="s">
        <v>12</v>
      </c>
    </row>
    <row r="83">
      <c r="A83" s="12" t="s">
        <v>225</v>
      </c>
      <c r="B83" s="25" t="s">
        <v>231</v>
      </c>
      <c r="C83" s="13" t="s">
        <v>232</v>
      </c>
      <c r="D83" s="25" t="s">
        <v>233</v>
      </c>
      <c r="E83" s="25">
        <v>0.0</v>
      </c>
      <c r="F83" s="13"/>
      <c r="G83" s="19"/>
      <c r="H83" s="19"/>
      <c r="I83" s="15"/>
      <c r="J83" s="20" t="s">
        <v>127</v>
      </c>
      <c r="K83" s="93"/>
      <c r="L83" s="19"/>
    </row>
    <row r="84">
      <c r="A84" s="12" t="s">
        <v>225</v>
      </c>
      <c r="B84" s="13" t="s">
        <v>231</v>
      </c>
      <c r="C84" s="13" t="s">
        <v>232</v>
      </c>
      <c r="D84" s="13" t="s">
        <v>234</v>
      </c>
      <c r="E84" s="13">
        <v>1.0</v>
      </c>
      <c r="F84" s="13"/>
      <c r="G84" s="19"/>
      <c r="H84" s="19">
        <v>35.0</v>
      </c>
      <c r="I84" s="15">
        <f t="shared" ref="I84:I87" si="10">PRODUCT(E84:H84)</f>
        <v>35</v>
      </c>
      <c r="J84" s="20" t="s">
        <v>127</v>
      </c>
      <c r="K84" s="93"/>
      <c r="L84" s="19" t="s">
        <v>12</v>
      </c>
    </row>
    <row r="85">
      <c r="A85" s="12" t="s">
        <v>225</v>
      </c>
      <c r="B85" s="13" t="s">
        <v>35</v>
      </c>
      <c r="C85" s="98" t="s">
        <v>235</v>
      </c>
      <c r="D85" s="19" t="s">
        <v>155</v>
      </c>
      <c r="E85" s="13">
        <v>2.0</v>
      </c>
      <c r="F85" s="13"/>
      <c r="G85" s="13"/>
      <c r="H85" s="19">
        <v>55.0</v>
      </c>
      <c r="I85" s="15">
        <f t="shared" si="10"/>
        <v>110</v>
      </c>
      <c r="J85" s="20" t="s">
        <v>127</v>
      </c>
      <c r="K85" s="93"/>
      <c r="L85" s="19" t="s">
        <v>12</v>
      </c>
    </row>
    <row r="86">
      <c r="A86" s="12" t="s">
        <v>225</v>
      </c>
      <c r="B86" s="25" t="s">
        <v>44</v>
      </c>
      <c r="C86" s="98" t="s">
        <v>235</v>
      </c>
      <c r="D86" s="19" t="s">
        <v>155</v>
      </c>
      <c r="E86" s="25">
        <v>0.0</v>
      </c>
      <c r="F86" s="19"/>
      <c r="G86" s="19"/>
      <c r="H86" s="19">
        <v>55.0</v>
      </c>
      <c r="I86" s="15">
        <f t="shared" si="10"/>
        <v>0</v>
      </c>
      <c r="J86" s="20" t="s">
        <v>127</v>
      </c>
      <c r="K86" s="93"/>
      <c r="L86" s="19" t="s">
        <v>12</v>
      </c>
    </row>
    <row r="87">
      <c r="A87" s="12" t="s">
        <v>225</v>
      </c>
      <c r="B87" s="13" t="s">
        <v>159</v>
      </c>
      <c r="C87" s="98" t="s">
        <v>235</v>
      </c>
      <c r="D87" s="19" t="s">
        <v>155</v>
      </c>
      <c r="E87" s="13">
        <v>3.0</v>
      </c>
      <c r="F87" s="13"/>
      <c r="G87" s="19"/>
      <c r="H87" s="19">
        <v>55.0</v>
      </c>
      <c r="I87" s="15">
        <f t="shared" si="10"/>
        <v>165</v>
      </c>
      <c r="J87" s="20" t="s">
        <v>127</v>
      </c>
      <c r="K87" s="93"/>
      <c r="L87" s="19" t="s">
        <v>12</v>
      </c>
    </row>
    <row r="88">
      <c r="A88" s="12"/>
      <c r="B88" s="9"/>
      <c r="C88" s="9"/>
      <c r="D88" s="9"/>
      <c r="E88" s="9"/>
      <c r="F88" s="9"/>
      <c r="G88" s="9"/>
      <c r="H88" s="9"/>
      <c r="I88" s="9"/>
      <c r="J88" s="20"/>
      <c r="K88" s="86"/>
      <c r="L88" s="94"/>
    </row>
    <row r="89">
      <c r="A89" s="12" t="s">
        <v>236</v>
      </c>
      <c r="B89" s="25" t="s">
        <v>35</v>
      </c>
      <c r="C89" s="19" t="s">
        <v>140</v>
      </c>
      <c r="D89" s="19" t="s">
        <v>140</v>
      </c>
      <c r="E89" s="25">
        <v>0.0</v>
      </c>
      <c r="F89" s="19"/>
      <c r="G89" s="19"/>
      <c r="H89" s="19">
        <v>15.0</v>
      </c>
      <c r="I89" s="15">
        <f>PRODUCT(E89:H89)</f>
        <v>0</v>
      </c>
      <c r="J89" s="20" t="s">
        <v>127</v>
      </c>
      <c r="K89" s="93"/>
      <c r="L89" s="95"/>
    </row>
    <row r="90">
      <c r="A90" s="12" t="s">
        <v>236</v>
      </c>
      <c r="B90" s="13" t="s">
        <v>237</v>
      </c>
      <c r="C90" s="13" t="s">
        <v>140</v>
      </c>
      <c r="D90" s="13" t="s">
        <v>140</v>
      </c>
      <c r="E90" s="13">
        <v>1.0</v>
      </c>
      <c r="F90" s="19"/>
      <c r="G90" s="19"/>
      <c r="H90" s="19"/>
      <c r="I90" s="15"/>
      <c r="J90" s="20" t="s">
        <v>127</v>
      </c>
      <c r="K90" s="93"/>
      <c r="L90" s="19" t="s">
        <v>12</v>
      </c>
    </row>
    <row r="91">
      <c r="A91" s="12" t="s">
        <v>236</v>
      </c>
      <c r="B91" s="19" t="s">
        <v>238</v>
      </c>
      <c r="C91" s="19" t="s">
        <v>140</v>
      </c>
      <c r="D91" s="19" t="s">
        <v>140</v>
      </c>
      <c r="E91" s="19">
        <v>1.0</v>
      </c>
      <c r="F91" s="19"/>
      <c r="G91" s="19"/>
      <c r="H91" s="19">
        <v>15.0</v>
      </c>
      <c r="I91" s="15">
        <f t="shared" ref="I91:I94" si="11">PRODUCT(E91:H91)</f>
        <v>15</v>
      </c>
      <c r="J91" s="20" t="s">
        <v>127</v>
      </c>
      <c r="K91" s="93"/>
      <c r="L91" s="19" t="s">
        <v>12</v>
      </c>
    </row>
    <row r="92">
      <c r="A92" s="12" t="s">
        <v>236</v>
      </c>
      <c r="B92" s="13" t="s">
        <v>18</v>
      </c>
      <c r="C92" s="13" t="s">
        <v>140</v>
      </c>
      <c r="D92" s="13" t="s">
        <v>140</v>
      </c>
      <c r="E92" s="13">
        <v>2.0</v>
      </c>
      <c r="F92" s="19"/>
      <c r="G92" s="19"/>
      <c r="H92" s="19">
        <v>15.0</v>
      </c>
      <c r="I92" s="15">
        <f t="shared" si="11"/>
        <v>30</v>
      </c>
      <c r="J92" s="20" t="s">
        <v>127</v>
      </c>
      <c r="K92" s="86"/>
      <c r="L92" s="95"/>
    </row>
    <row r="93">
      <c r="A93" s="12" t="s">
        <v>236</v>
      </c>
      <c r="B93" s="13" t="s">
        <v>139</v>
      </c>
      <c r="C93" s="13" t="s">
        <v>140</v>
      </c>
      <c r="D93" s="13" t="s">
        <v>140</v>
      </c>
      <c r="E93" s="13">
        <v>2.0</v>
      </c>
      <c r="F93" s="13"/>
      <c r="G93" s="19"/>
      <c r="H93" s="19">
        <v>15.0</v>
      </c>
      <c r="I93" s="15">
        <f t="shared" si="11"/>
        <v>30</v>
      </c>
      <c r="J93" s="20" t="s">
        <v>127</v>
      </c>
      <c r="K93" s="86"/>
      <c r="L93" s="95"/>
    </row>
    <row r="94">
      <c r="A94" s="12" t="s">
        <v>236</v>
      </c>
      <c r="B94" s="13" t="s">
        <v>158</v>
      </c>
      <c r="C94" s="13" t="s">
        <v>140</v>
      </c>
      <c r="D94" s="13" t="s">
        <v>140</v>
      </c>
      <c r="E94" s="13">
        <v>2.0</v>
      </c>
      <c r="F94" s="19"/>
      <c r="G94" s="13"/>
      <c r="H94" s="19">
        <v>15.0</v>
      </c>
      <c r="I94" s="15">
        <f t="shared" si="11"/>
        <v>30</v>
      </c>
      <c r="J94" s="20" t="s">
        <v>127</v>
      </c>
      <c r="K94" s="93"/>
      <c r="L94" s="19" t="s">
        <v>12</v>
      </c>
    </row>
    <row r="95">
      <c r="A95" s="12" t="s">
        <v>239</v>
      </c>
      <c r="B95" s="25" t="s">
        <v>72</v>
      </c>
      <c r="C95" s="25" t="s">
        <v>240</v>
      </c>
      <c r="D95" s="9"/>
      <c r="E95" s="25">
        <v>0.0</v>
      </c>
      <c r="F95" s="19"/>
      <c r="G95" s="9"/>
      <c r="H95" s="19">
        <v>20.0</v>
      </c>
      <c r="I95" s="9"/>
      <c r="J95" s="20"/>
      <c r="K95" s="93"/>
      <c r="L95" s="19" t="s">
        <v>12</v>
      </c>
    </row>
    <row r="96">
      <c r="A96" s="12" t="s">
        <v>239</v>
      </c>
      <c r="B96" s="25" t="s">
        <v>241</v>
      </c>
      <c r="C96" s="25" t="s">
        <v>240</v>
      </c>
      <c r="D96" s="9"/>
      <c r="E96" s="25">
        <v>0.0</v>
      </c>
      <c r="F96" s="19"/>
      <c r="G96" s="9"/>
      <c r="H96" s="19">
        <v>20.0</v>
      </c>
      <c r="I96" s="9"/>
      <c r="J96" s="20"/>
      <c r="K96" s="93"/>
      <c r="L96" s="19" t="s">
        <v>12</v>
      </c>
    </row>
    <row r="97">
      <c r="A97" s="12" t="s">
        <v>239</v>
      </c>
      <c r="B97" s="19" t="s">
        <v>241</v>
      </c>
      <c r="C97" s="19" t="s">
        <v>242</v>
      </c>
      <c r="D97" s="9"/>
      <c r="E97" s="19">
        <v>1.0</v>
      </c>
      <c r="F97" s="19"/>
      <c r="G97" s="9"/>
      <c r="H97" s="19">
        <v>20.0</v>
      </c>
      <c r="I97" s="9"/>
      <c r="J97" s="20"/>
      <c r="K97" s="93"/>
      <c r="L97" s="19" t="s">
        <v>12</v>
      </c>
    </row>
    <row r="98">
      <c r="A98" s="12" t="s">
        <v>236</v>
      </c>
      <c r="B98" s="19" t="s">
        <v>243</v>
      </c>
      <c r="C98" s="25" t="s">
        <v>49</v>
      </c>
      <c r="D98" s="9"/>
      <c r="E98" s="25">
        <v>0.0</v>
      </c>
      <c r="F98" s="19"/>
      <c r="G98" s="9"/>
      <c r="H98" s="9"/>
      <c r="I98" s="9"/>
      <c r="J98" s="20"/>
      <c r="K98" s="86"/>
      <c r="L98" s="94"/>
    </row>
    <row r="99">
      <c r="A99" s="12" t="s">
        <v>236</v>
      </c>
      <c r="B99" s="19" t="s">
        <v>243</v>
      </c>
      <c r="C99" s="19" t="s">
        <v>60</v>
      </c>
      <c r="D99" s="9"/>
      <c r="E99" s="19">
        <v>3.0</v>
      </c>
      <c r="F99" s="19"/>
      <c r="G99" s="9"/>
      <c r="H99" s="9"/>
      <c r="I99" s="9"/>
      <c r="J99" s="20"/>
      <c r="K99" s="86"/>
      <c r="L99" s="94"/>
    </row>
    <row r="100">
      <c r="A100" s="12"/>
      <c r="B100" s="19"/>
      <c r="C100" s="9"/>
      <c r="D100" s="9"/>
      <c r="E100" s="9"/>
      <c r="F100" s="9"/>
      <c r="G100" s="9"/>
      <c r="H100" s="9"/>
      <c r="I100" s="9"/>
      <c r="J100" s="20"/>
      <c r="K100" s="86"/>
      <c r="L100" s="94"/>
    </row>
    <row r="101">
      <c r="A101" s="12"/>
      <c r="B101" s="9"/>
      <c r="C101" s="9"/>
      <c r="D101" s="9"/>
      <c r="E101" s="9"/>
      <c r="F101" s="9"/>
      <c r="G101" s="9"/>
      <c r="H101" s="9"/>
      <c r="I101" s="9"/>
      <c r="J101" s="20"/>
      <c r="K101" s="86"/>
      <c r="L101" s="94"/>
    </row>
    <row r="102">
      <c r="A102" s="12"/>
      <c r="B102" s="9"/>
      <c r="C102" s="9"/>
      <c r="D102" s="9"/>
      <c r="E102" s="9"/>
      <c r="F102" s="9"/>
      <c r="G102" s="9"/>
      <c r="H102" s="9"/>
      <c r="I102" s="9"/>
      <c r="J102" s="20"/>
      <c r="K102" s="86"/>
      <c r="L102" s="94"/>
    </row>
    <row r="103">
      <c r="A103" s="12" t="s">
        <v>244</v>
      </c>
      <c r="B103" s="13" t="s">
        <v>245</v>
      </c>
      <c r="C103" s="13" t="s">
        <v>140</v>
      </c>
      <c r="D103" s="13" t="s">
        <v>140</v>
      </c>
      <c r="E103" s="13">
        <v>1.0</v>
      </c>
      <c r="F103" s="13" t="s">
        <v>12</v>
      </c>
      <c r="G103" s="13"/>
      <c r="H103" s="19">
        <v>7.0</v>
      </c>
      <c r="I103" s="15">
        <f>PRODUCT(E103:H103)</f>
        <v>7</v>
      </c>
      <c r="J103" s="20" t="s">
        <v>127</v>
      </c>
      <c r="K103" s="93"/>
      <c r="L103" s="19" t="s">
        <v>12</v>
      </c>
    </row>
    <row r="104">
      <c r="A104" s="12" t="s">
        <v>244</v>
      </c>
      <c r="B104" s="13" t="s">
        <v>246</v>
      </c>
      <c r="C104" s="13"/>
      <c r="D104" s="13"/>
      <c r="E104" s="13">
        <v>1.0</v>
      </c>
      <c r="F104" s="13" t="s">
        <v>12</v>
      </c>
      <c r="G104" s="13"/>
      <c r="H104" s="19"/>
      <c r="I104" s="15"/>
      <c r="J104" s="20"/>
      <c r="K104" s="93"/>
      <c r="L104" s="19"/>
    </row>
    <row r="105">
      <c r="A105" s="12" t="s">
        <v>244</v>
      </c>
      <c r="B105" s="13" t="s">
        <v>247</v>
      </c>
      <c r="C105" s="13"/>
      <c r="D105" s="13"/>
      <c r="E105" s="13">
        <v>1.0</v>
      </c>
      <c r="F105" s="13" t="s">
        <v>12</v>
      </c>
      <c r="G105" s="13"/>
      <c r="H105" s="19"/>
      <c r="I105" s="15"/>
      <c r="J105" s="20"/>
      <c r="K105" s="93"/>
      <c r="L105" s="19"/>
    </row>
    <row r="106">
      <c r="A106" s="12" t="s">
        <v>244</v>
      </c>
      <c r="B106" s="13" t="s">
        <v>248</v>
      </c>
      <c r="C106" s="13"/>
      <c r="D106" s="13"/>
      <c r="E106" s="13">
        <v>1.0</v>
      </c>
      <c r="F106" s="13" t="s">
        <v>12</v>
      </c>
      <c r="G106" s="13"/>
      <c r="H106" s="19"/>
      <c r="I106" s="15"/>
      <c r="J106" s="20"/>
      <c r="K106" s="93"/>
      <c r="L106" s="19"/>
    </row>
    <row r="107">
      <c r="A107" s="12" t="s">
        <v>244</v>
      </c>
      <c r="B107" s="13" t="s">
        <v>249</v>
      </c>
      <c r="C107" s="13"/>
      <c r="D107" s="13"/>
      <c r="E107" s="13">
        <v>1.0</v>
      </c>
      <c r="F107" s="13" t="s">
        <v>12</v>
      </c>
      <c r="G107" s="13"/>
      <c r="H107" s="19"/>
      <c r="I107" s="15"/>
      <c r="J107" s="20"/>
      <c r="K107" s="93"/>
      <c r="L107" s="19"/>
    </row>
    <row r="108">
      <c r="A108" s="12" t="s">
        <v>244</v>
      </c>
      <c r="B108" s="13" t="s">
        <v>250</v>
      </c>
      <c r="C108" s="13"/>
      <c r="D108" s="13"/>
      <c r="E108" s="13">
        <v>1.0</v>
      </c>
      <c r="F108" s="13"/>
      <c r="G108" s="13"/>
      <c r="H108" s="19"/>
      <c r="I108" s="15"/>
      <c r="J108" s="20"/>
      <c r="K108" s="93"/>
      <c r="L108" s="19"/>
    </row>
    <row r="109">
      <c r="A109" s="12" t="s">
        <v>244</v>
      </c>
      <c r="B109" s="25" t="s">
        <v>195</v>
      </c>
      <c r="C109" s="98" t="s">
        <v>251</v>
      </c>
      <c r="D109" s="13" t="s">
        <v>140</v>
      </c>
      <c r="E109" s="25">
        <v>0.0</v>
      </c>
      <c r="F109" s="13"/>
      <c r="G109" s="13"/>
      <c r="H109" s="19">
        <v>4.0</v>
      </c>
      <c r="I109" s="15">
        <f>PRODUCT(E109:H109)</f>
        <v>0</v>
      </c>
      <c r="J109" s="20" t="s">
        <v>127</v>
      </c>
      <c r="K109" s="93"/>
      <c r="L109" s="19" t="s">
        <v>12</v>
      </c>
    </row>
    <row r="110">
      <c r="A110" s="12"/>
      <c r="B110" s="9"/>
      <c r="C110" s="9"/>
      <c r="D110" s="9"/>
      <c r="E110" s="9"/>
      <c r="F110" s="9"/>
      <c r="G110" s="9"/>
      <c r="H110" s="9"/>
      <c r="I110" s="9"/>
      <c r="J110" s="20"/>
      <c r="K110" s="93"/>
      <c r="L110" s="94"/>
    </row>
    <row r="111">
      <c r="A111" s="12" t="s">
        <v>252</v>
      </c>
      <c r="B111" s="13" t="s">
        <v>44</v>
      </c>
      <c r="C111" s="13" t="s">
        <v>140</v>
      </c>
      <c r="D111" s="13" t="s">
        <v>140</v>
      </c>
      <c r="E111" s="13">
        <v>2.0</v>
      </c>
      <c r="F111" s="13"/>
      <c r="G111" s="13"/>
      <c r="H111" s="19">
        <v>16.0</v>
      </c>
      <c r="I111" s="15">
        <f t="shared" ref="I111:I113" si="12">PRODUCT(E111:H111)</f>
        <v>32</v>
      </c>
      <c r="J111" s="20" t="s">
        <v>127</v>
      </c>
      <c r="K111" s="93" t="s">
        <v>12</v>
      </c>
      <c r="L111" s="19" t="s">
        <v>12</v>
      </c>
    </row>
    <row r="112">
      <c r="A112" s="12" t="s">
        <v>252</v>
      </c>
      <c r="B112" s="13" t="s">
        <v>60</v>
      </c>
      <c r="C112" s="13" t="s">
        <v>140</v>
      </c>
      <c r="D112" s="13" t="s">
        <v>140</v>
      </c>
      <c r="E112" s="13">
        <v>2.0</v>
      </c>
      <c r="F112" s="13"/>
      <c r="G112" s="13"/>
      <c r="H112" s="19">
        <v>16.0</v>
      </c>
      <c r="I112" s="15">
        <f t="shared" si="12"/>
        <v>32</v>
      </c>
      <c r="J112" s="20" t="s">
        <v>127</v>
      </c>
      <c r="K112" s="93" t="s">
        <v>12</v>
      </c>
      <c r="L112" s="95"/>
    </row>
    <row r="113">
      <c r="A113" s="12" t="s">
        <v>252</v>
      </c>
      <c r="B113" s="13" t="s">
        <v>35</v>
      </c>
      <c r="C113" s="13" t="s">
        <v>140</v>
      </c>
      <c r="D113" s="13" t="s">
        <v>140</v>
      </c>
      <c r="E113" s="13">
        <v>2.0</v>
      </c>
      <c r="F113" s="13"/>
      <c r="G113" s="13"/>
      <c r="H113" s="19">
        <v>16.0</v>
      </c>
      <c r="I113" s="15">
        <f t="shared" si="12"/>
        <v>32</v>
      </c>
      <c r="J113" s="20" t="s">
        <v>127</v>
      </c>
      <c r="K113" s="93" t="s">
        <v>12</v>
      </c>
      <c r="L113" s="19" t="s">
        <v>12</v>
      </c>
    </row>
    <row r="114">
      <c r="A114" s="12"/>
      <c r="B114" s="19" t="s">
        <v>219</v>
      </c>
      <c r="C114" s="9"/>
      <c r="D114" s="9"/>
      <c r="E114" s="19">
        <v>1.0</v>
      </c>
      <c r="F114" s="19"/>
      <c r="G114" s="9"/>
      <c r="H114" s="19"/>
      <c r="I114" s="9"/>
      <c r="J114" s="20"/>
      <c r="K114" s="93" t="s">
        <v>12</v>
      </c>
      <c r="L114" s="19"/>
    </row>
    <row r="115">
      <c r="A115" s="12" t="s">
        <v>253</v>
      </c>
      <c r="B115" s="19" t="s">
        <v>254</v>
      </c>
      <c r="C115" s="9"/>
      <c r="D115" s="9"/>
      <c r="E115" s="19">
        <v>1.0</v>
      </c>
      <c r="F115" s="19"/>
      <c r="G115" s="9"/>
      <c r="H115" s="19"/>
      <c r="I115" s="9"/>
      <c r="J115" s="20"/>
      <c r="K115" s="93" t="s">
        <v>12</v>
      </c>
      <c r="L115" s="19" t="s">
        <v>12</v>
      </c>
    </row>
    <row r="116">
      <c r="A116" s="12" t="s">
        <v>253</v>
      </c>
      <c r="B116" s="19" t="s">
        <v>255</v>
      </c>
      <c r="C116" s="9"/>
      <c r="D116" s="9"/>
      <c r="E116" s="19">
        <v>1.0</v>
      </c>
      <c r="F116" s="19"/>
      <c r="G116" s="9"/>
      <c r="H116" s="19"/>
      <c r="I116" s="9"/>
      <c r="J116" s="20"/>
      <c r="K116" s="93" t="s">
        <v>12</v>
      </c>
      <c r="L116" s="19" t="s">
        <v>12</v>
      </c>
    </row>
    <row r="117">
      <c r="A117" s="12" t="s">
        <v>253</v>
      </c>
      <c r="B117" s="25" t="s">
        <v>219</v>
      </c>
      <c r="C117" s="9"/>
      <c r="D117" s="9"/>
      <c r="E117" s="25">
        <v>0.0</v>
      </c>
      <c r="F117" s="19"/>
      <c r="G117" s="9"/>
      <c r="H117" s="19"/>
      <c r="I117" s="9"/>
      <c r="J117" s="20"/>
      <c r="K117" s="93" t="s">
        <v>12</v>
      </c>
      <c r="L117" s="19" t="s">
        <v>12</v>
      </c>
    </row>
    <row r="118">
      <c r="A118" s="12"/>
      <c r="B118" s="9"/>
      <c r="C118" s="9"/>
      <c r="D118" s="9"/>
      <c r="E118" s="9"/>
      <c r="F118" s="9"/>
      <c r="G118" s="9"/>
      <c r="H118" s="9"/>
      <c r="I118" s="9"/>
      <c r="J118" s="20"/>
      <c r="K118" s="86"/>
      <c r="L118" s="94"/>
    </row>
    <row r="119">
      <c r="A119" s="12" t="s">
        <v>256</v>
      </c>
      <c r="B119" s="13" t="s">
        <v>139</v>
      </c>
      <c r="C119" s="13" t="s">
        <v>140</v>
      </c>
      <c r="D119" s="13" t="s">
        <v>140</v>
      </c>
      <c r="E119" s="13">
        <v>2.0</v>
      </c>
      <c r="F119" s="13"/>
      <c r="G119" s="13"/>
      <c r="H119" s="19">
        <v>12.0</v>
      </c>
      <c r="I119" s="15">
        <f t="shared" ref="I119:I121" si="13">PRODUCT(E119:H119)</f>
        <v>24</v>
      </c>
      <c r="J119" s="20" t="s">
        <v>127</v>
      </c>
      <c r="K119" s="93"/>
      <c r="L119" s="19" t="s">
        <v>12</v>
      </c>
    </row>
    <row r="120">
      <c r="A120" s="12" t="s">
        <v>256</v>
      </c>
      <c r="B120" s="13" t="s">
        <v>158</v>
      </c>
      <c r="C120" s="13" t="s">
        <v>140</v>
      </c>
      <c r="D120" s="13" t="s">
        <v>140</v>
      </c>
      <c r="E120" s="13">
        <v>2.0</v>
      </c>
      <c r="F120" s="13"/>
      <c r="G120" s="13"/>
      <c r="H120" s="19">
        <v>12.0</v>
      </c>
      <c r="I120" s="15">
        <f t="shared" si="13"/>
        <v>24</v>
      </c>
      <c r="J120" s="20" t="s">
        <v>127</v>
      </c>
      <c r="K120" s="93" t="s">
        <v>12</v>
      </c>
      <c r="L120" s="19" t="s">
        <v>12</v>
      </c>
    </row>
    <row r="121">
      <c r="A121" s="12" t="s">
        <v>256</v>
      </c>
      <c r="B121" s="13" t="s">
        <v>35</v>
      </c>
      <c r="C121" s="19" t="s">
        <v>140</v>
      </c>
      <c r="D121" s="19" t="s">
        <v>140</v>
      </c>
      <c r="E121" s="13">
        <v>1.0</v>
      </c>
      <c r="F121" s="13"/>
      <c r="G121" s="13"/>
      <c r="H121" s="19">
        <v>12.0</v>
      </c>
      <c r="I121" s="15">
        <f t="shared" si="13"/>
        <v>12</v>
      </c>
      <c r="J121" s="20" t="s">
        <v>127</v>
      </c>
      <c r="K121" s="93" t="s">
        <v>12</v>
      </c>
      <c r="L121" s="19" t="s">
        <v>12</v>
      </c>
    </row>
    <row r="122">
      <c r="A122" s="12"/>
      <c r="B122" s="9"/>
      <c r="C122" s="9"/>
      <c r="D122" s="9"/>
      <c r="E122" s="29"/>
      <c r="F122" s="29"/>
      <c r="G122" s="29"/>
      <c r="H122" s="9"/>
      <c r="I122" s="9"/>
      <c r="J122" s="20"/>
      <c r="K122" s="86"/>
      <c r="L122" s="94"/>
    </row>
    <row r="123">
      <c r="A123" s="12" t="s">
        <v>257</v>
      </c>
      <c r="B123" s="19" t="s">
        <v>258</v>
      </c>
      <c r="C123" s="19" t="s">
        <v>259</v>
      </c>
      <c r="D123" s="13" t="s">
        <v>260</v>
      </c>
      <c r="E123" s="13">
        <v>1.0</v>
      </c>
      <c r="F123" s="13" t="s">
        <v>12</v>
      </c>
      <c r="G123" s="19"/>
      <c r="H123" s="19">
        <v>12.0</v>
      </c>
      <c r="I123" s="15">
        <f t="shared" ref="I123:I128" si="14">PRODUCT(E123:H123)</f>
        <v>12</v>
      </c>
      <c r="J123" s="20" t="s">
        <v>127</v>
      </c>
      <c r="K123" s="93"/>
      <c r="L123" s="95"/>
    </row>
    <row r="124">
      <c r="A124" s="12" t="s">
        <v>257</v>
      </c>
      <c r="B124" s="19" t="s">
        <v>258</v>
      </c>
      <c r="C124" s="19" t="s">
        <v>259</v>
      </c>
      <c r="D124" s="13" t="s">
        <v>261</v>
      </c>
      <c r="E124" s="13">
        <v>1.0</v>
      </c>
      <c r="F124" s="19" t="s">
        <v>12</v>
      </c>
      <c r="G124" s="19"/>
      <c r="H124" s="19">
        <v>12.0</v>
      </c>
      <c r="I124" s="15">
        <f t="shared" si="14"/>
        <v>12</v>
      </c>
      <c r="J124" s="20" t="s">
        <v>127</v>
      </c>
      <c r="K124" s="93"/>
      <c r="L124" s="19"/>
    </row>
    <row r="125">
      <c r="A125" s="12" t="s">
        <v>257</v>
      </c>
      <c r="B125" s="19" t="s">
        <v>258</v>
      </c>
      <c r="C125" s="19" t="s">
        <v>259</v>
      </c>
      <c r="D125" s="13" t="s">
        <v>262</v>
      </c>
      <c r="E125" s="13">
        <v>1.0</v>
      </c>
      <c r="F125" s="13" t="s">
        <v>12</v>
      </c>
      <c r="G125" s="19"/>
      <c r="H125" s="19">
        <v>12.0</v>
      </c>
      <c r="I125" s="15">
        <f t="shared" si="14"/>
        <v>12</v>
      </c>
      <c r="J125" s="20" t="s">
        <v>127</v>
      </c>
      <c r="K125" s="93"/>
      <c r="L125" s="19" t="s">
        <v>12</v>
      </c>
    </row>
    <row r="126">
      <c r="A126" s="12" t="s">
        <v>257</v>
      </c>
      <c r="B126" s="19" t="s">
        <v>258</v>
      </c>
      <c r="C126" s="19" t="s">
        <v>259</v>
      </c>
      <c r="D126" s="19" t="s">
        <v>263</v>
      </c>
      <c r="E126" s="19">
        <v>1.0</v>
      </c>
      <c r="F126" s="19" t="s">
        <v>12</v>
      </c>
      <c r="G126" s="19"/>
      <c r="H126" s="19">
        <v>12.0</v>
      </c>
      <c r="I126" s="15">
        <f t="shared" si="14"/>
        <v>12</v>
      </c>
      <c r="J126" s="20" t="s">
        <v>127</v>
      </c>
      <c r="K126" s="93"/>
      <c r="L126" s="19" t="s">
        <v>12</v>
      </c>
    </row>
    <row r="127">
      <c r="A127" s="12" t="s">
        <v>257</v>
      </c>
      <c r="B127" s="19" t="s">
        <v>258</v>
      </c>
      <c r="C127" s="19" t="s">
        <v>259</v>
      </c>
      <c r="D127" s="13" t="s">
        <v>264</v>
      </c>
      <c r="E127" s="13">
        <v>1.0</v>
      </c>
      <c r="F127" s="19" t="s">
        <v>12</v>
      </c>
      <c r="G127" s="19"/>
      <c r="H127" s="19">
        <v>12.0</v>
      </c>
      <c r="I127" s="15">
        <f t="shared" si="14"/>
        <v>12</v>
      </c>
      <c r="J127" s="20" t="s">
        <v>127</v>
      </c>
      <c r="K127" s="86"/>
      <c r="L127" s="95"/>
    </row>
    <row r="128">
      <c r="A128" s="12" t="s">
        <v>257</v>
      </c>
      <c r="B128" s="19" t="s">
        <v>258</v>
      </c>
      <c r="C128" s="19" t="s">
        <v>259</v>
      </c>
      <c r="D128" s="13" t="s">
        <v>265</v>
      </c>
      <c r="E128" s="13">
        <v>1.0</v>
      </c>
      <c r="F128" s="13" t="s">
        <v>12</v>
      </c>
      <c r="G128" s="19"/>
      <c r="H128" s="19">
        <v>12.0</v>
      </c>
      <c r="I128" s="15">
        <f t="shared" si="14"/>
        <v>12</v>
      </c>
      <c r="J128" s="20" t="s">
        <v>127</v>
      </c>
      <c r="K128" s="93"/>
      <c r="L128" s="19" t="s">
        <v>12</v>
      </c>
    </row>
    <row r="129">
      <c r="A129" s="12" t="s">
        <v>257</v>
      </c>
      <c r="B129" s="19" t="s">
        <v>258</v>
      </c>
      <c r="C129" s="19" t="s">
        <v>259</v>
      </c>
      <c r="D129" s="25" t="s">
        <v>266</v>
      </c>
      <c r="E129" s="25">
        <v>0.0</v>
      </c>
      <c r="F129" s="19" t="s">
        <v>12</v>
      </c>
      <c r="G129" s="9"/>
      <c r="H129" s="9"/>
      <c r="I129" s="9"/>
      <c r="J129" s="20" t="s">
        <v>127</v>
      </c>
      <c r="K129" s="86"/>
      <c r="L129" s="94"/>
    </row>
    <row r="130">
      <c r="A130" s="12" t="s">
        <v>257</v>
      </c>
      <c r="B130" s="19" t="s">
        <v>258</v>
      </c>
      <c r="C130" s="19" t="s">
        <v>259</v>
      </c>
      <c r="D130" s="19" t="s">
        <v>267</v>
      </c>
      <c r="E130" s="19">
        <v>1.0</v>
      </c>
      <c r="F130" s="19" t="s">
        <v>12</v>
      </c>
      <c r="G130" s="9"/>
      <c r="H130" s="9"/>
      <c r="I130" s="9"/>
      <c r="J130" s="20" t="s">
        <v>127</v>
      </c>
      <c r="K130" s="86"/>
      <c r="L130" s="94"/>
    </row>
    <row r="131">
      <c r="A131" s="12" t="s">
        <v>257</v>
      </c>
      <c r="B131" s="19" t="s">
        <v>258</v>
      </c>
      <c r="C131" s="19" t="s">
        <v>259</v>
      </c>
      <c r="D131" s="13" t="s">
        <v>268</v>
      </c>
      <c r="E131" s="13">
        <v>1.0</v>
      </c>
      <c r="F131" s="19" t="s">
        <v>12</v>
      </c>
      <c r="G131" s="9"/>
      <c r="H131" s="9"/>
      <c r="I131" s="9"/>
      <c r="J131" s="20" t="s">
        <v>127</v>
      </c>
      <c r="K131" s="86"/>
      <c r="L131" s="94"/>
    </row>
    <row r="132">
      <c r="A132" s="12" t="s">
        <v>257</v>
      </c>
      <c r="B132" s="19" t="s">
        <v>258</v>
      </c>
      <c r="C132" s="19" t="s">
        <v>259</v>
      </c>
      <c r="D132" s="13" t="s">
        <v>269</v>
      </c>
      <c r="E132" s="13">
        <v>1.0</v>
      </c>
      <c r="F132" s="19" t="s">
        <v>12</v>
      </c>
      <c r="G132" s="9"/>
      <c r="H132" s="9"/>
      <c r="I132" s="9"/>
      <c r="J132" s="20" t="s">
        <v>127</v>
      </c>
      <c r="K132" s="86"/>
      <c r="L132" s="94"/>
    </row>
    <row r="133">
      <c r="A133" s="12"/>
      <c r="B133" s="9"/>
      <c r="C133" s="9"/>
      <c r="D133" s="9"/>
      <c r="E133" s="9"/>
      <c r="F133" s="9"/>
      <c r="G133" s="9"/>
      <c r="H133" s="9"/>
      <c r="I133" s="9"/>
      <c r="J133" s="20"/>
      <c r="K133" s="86"/>
      <c r="L133" s="94"/>
    </row>
    <row r="134">
      <c r="A134" s="12" t="s">
        <v>270</v>
      </c>
      <c r="B134" s="19" t="s">
        <v>17</v>
      </c>
      <c r="C134" s="19" t="s">
        <v>140</v>
      </c>
      <c r="D134" s="19" t="s">
        <v>140</v>
      </c>
      <c r="E134" s="19">
        <v>2.0</v>
      </c>
      <c r="F134" s="19" t="s">
        <v>12</v>
      </c>
      <c r="G134" s="19"/>
      <c r="H134" s="19">
        <v>45.0</v>
      </c>
      <c r="I134" s="15">
        <f t="shared" ref="I134:I135" si="15">PRODUCT(E134:H134)</f>
        <v>90</v>
      </c>
      <c r="J134" s="20" t="s">
        <v>127</v>
      </c>
      <c r="K134" s="93"/>
      <c r="L134" s="95"/>
    </row>
    <row r="135">
      <c r="A135" s="12" t="s">
        <v>270</v>
      </c>
      <c r="B135" s="25" t="s">
        <v>271</v>
      </c>
      <c r="C135" s="13" t="s">
        <v>140</v>
      </c>
      <c r="D135" s="13" t="s">
        <v>140</v>
      </c>
      <c r="E135" s="25">
        <v>0.0</v>
      </c>
      <c r="F135" s="19"/>
      <c r="G135" s="19"/>
      <c r="H135" s="19">
        <v>42.0</v>
      </c>
      <c r="I135" s="15">
        <f t="shared" si="15"/>
        <v>0</v>
      </c>
      <c r="J135" s="20" t="s">
        <v>129</v>
      </c>
      <c r="K135" s="93"/>
      <c r="L135" s="95"/>
    </row>
    <row r="136">
      <c r="A136" s="12"/>
      <c r="B136" s="9"/>
      <c r="C136" s="29"/>
      <c r="D136" s="29"/>
      <c r="E136" s="29"/>
      <c r="F136" s="29"/>
      <c r="G136" s="29"/>
      <c r="H136" s="9"/>
      <c r="I136" s="9"/>
      <c r="J136" s="20"/>
      <c r="K136" s="86"/>
      <c r="L136" s="94"/>
    </row>
    <row r="137">
      <c r="A137" s="12" t="s">
        <v>272</v>
      </c>
      <c r="B137" s="19" t="s">
        <v>273</v>
      </c>
      <c r="C137" s="19" t="s">
        <v>274</v>
      </c>
      <c r="D137" s="19" t="s">
        <v>140</v>
      </c>
      <c r="E137" s="19">
        <v>4.0</v>
      </c>
      <c r="F137" s="19" t="s">
        <v>12</v>
      </c>
      <c r="G137" s="19"/>
      <c r="H137" s="19">
        <v>5.0</v>
      </c>
      <c r="I137" s="15">
        <f t="shared" ref="I137:I142" si="16">PRODUCT(E137:H137)</f>
        <v>20</v>
      </c>
      <c r="J137" s="20" t="s">
        <v>127</v>
      </c>
      <c r="K137" s="93"/>
      <c r="L137" s="95"/>
    </row>
    <row r="138">
      <c r="A138" s="12" t="s">
        <v>272</v>
      </c>
      <c r="B138" s="19" t="s">
        <v>273</v>
      </c>
      <c r="C138" s="19" t="s">
        <v>125</v>
      </c>
      <c r="D138" s="19" t="s">
        <v>140</v>
      </c>
      <c r="E138" s="19">
        <v>2.0</v>
      </c>
      <c r="F138" s="19" t="s">
        <v>12</v>
      </c>
      <c r="G138" s="19"/>
      <c r="H138" s="19">
        <v>5.0</v>
      </c>
      <c r="I138" s="15">
        <f t="shared" si="16"/>
        <v>10</v>
      </c>
      <c r="J138" s="20" t="s">
        <v>127</v>
      </c>
      <c r="K138" s="93"/>
      <c r="L138" s="19" t="s">
        <v>12</v>
      </c>
    </row>
    <row r="139">
      <c r="A139" s="12" t="s">
        <v>272</v>
      </c>
      <c r="B139" s="19" t="s">
        <v>273</v>
      </c>
      <c r="C139" s="19" t="s">
        <v>275</v>
      </c>
      <c r="D139" s="19" t="s">
        <v>140</v>
      </c>
      <c r="E139" s="19">
        <v>5.0</v>
      </c>
      <c r="F139" s="19" t="s">
        <v>12</v>
      </c>
      <c r="G139" s="19"/>
      <c r="H139" s="19">
        <v>5.0</v>
      </c>
      <c r="I139" s="15">
        <f t="shared" si="16"/>
        <v>25</v>
      </c>
      <c r="J139" s="20" t="s">
        <v>127</v>
      </c>
      <c r="K139" s="93"/>
      <c r="L139" s="19" t="s">
        <v>12</v>
      </c>
    </row>
    <row r="140">
      <c r="A140" s="12" t="s">
        <v>272</v>
      </c>
      <c r="B140" s="19" t="s">
        <v>276</v>
      </c>
      <c r="C140" s="19" t="s">
        <v>277</v>
      </c>
      <c r="D140" s="19" t="s">
        <v>140</v>
      </c>
      <c r="E140" s="19">
        <v>3.0</v>
      </c>
      <c r="F140" s="19" t="s">
        <v>12</v>
      </c>
      <c r="G140" s="19"/>
      <c r="H140" s="19">
        <v>5.0</v>
      </c>
      <c r="I140" s="15">
        <f t="shared" si="16"/>
        <v>15</v>
      </c>
      <c r="J140" s="20" t="s">
        <v>127</v>
      </c>
      <c r="K140" s="93"/>
      <c r="L140" s="19" t="s">
        <v>12</v>
      </c>
    </row>
    <row r="141">
      <c r="A141" s="12" t="s">
        <v>272</v>
      </c>
      <c r="B141" s="19" t="s">
        <v>278</v>
      </c>
      <c r="C141" s="19" t="s">
        <v>279</v>
      </c>
      <c r="D141" s="19" t="s">
        <v>140</v>
      </c>
      <c r="E141" s="19">
        <v>2.0</v>
      </c>
      <c r="F141" s="19" t="s">
        <v>12</v>
      </c>
      <c r="G141" s="19"/>
      <c r="H141" s="19">
        <v>5.0</v>
      </c>
      <c r="I141" s="15">
        <f t="shared" si="16"/>
        <v>10</v>
      </c>
      <c r="J141" s="20" t="s">
        <v>127</v>
      </c>
      <c r="K141" s="93"/>
      <c r="L141" s="19" t="s">
        <v>12</v>
      </c>
    </row>
    <row r="142">
      <c r="A142" s="12" t="s">
        <v>272</v>
      </c>
      <c r="B142" s="19" t="s">
        <v>278</v>
      </c>
      <c r="C142" s="19" t="s">
        <v>280</v>
      </c>
      <c r="D142" s="19" t="s">
        <v>140</v>
      </c>
      <c r="E142" s="19">
        <v>1.0</v>
      </c>
      <c r="F142" s="19" t="s">
        <v>12</v>
      </c>
      <c r="G142" s="19"/>
      <c r="H142" s="19">
        <v>5.0</v>
      </c>
      <c r="I142" s="15">
        <f t="shared" si="16"/>
        <v>5</v>
      </c>
      <c r="J142" s="20" t="s">
        <v>127</v>
      </c>
      <c r="K142" s="93"/>
      <c r="L142" s="19" t="s">
        <v>12</v>
      </c>
    </row>
    <row r="143">
      <c r="A143" s="12" t="s">
        <v>272</v>
      </c>
      <c r="B143" s="13" t="s">
        <v>281</v>
      </c>
      <c r="C143" s="13"/>
      <c r="D143" s="29"/>
      <c r="E143" s="13">
        <v>2.0</v>
      </c>
      <c r="F143" s="19" t="s">
        <v>12</v>
      </c>
      <c r="G143" s="9"/>
      <c r="H143" s="9"/>
      <c r="I143" s="9"/>
      <c r="J143" s="20"/>
      <c r="K143" s="93"/>
      <c r="L143" s="19" t="s">
        <v>12</v>
      </c>
    </row>
    <row r="144">
      <c r="A144" s="12"/>
      <c r="B144" s="9"/>
      <c r="C144" s="9"/>
      <c r="D144" s="9"/>
      <c r="E144" s="9"/>
      <c r="F144" s="9"/>
      <c r="G144" s="9"/>
      <c r="H144" s="9"/>
      <c r="I144" s="9"/>
      <c r="J144" s="20"/>
      <c r="K144" s="86"/>
      <c r="L144" s="94"/>
    </row>
    <row r="145">
      <c r="A145" s="12"/>
      <c r="B145" s="9"/>
      <c r="C145" s="9"/>
      <c r="D145" s="9"/>
      <c r="E145" s="9"/>
      <c r="F145" s="9"/>
      <c r="G145" s="9"/>
      <c r="H145" s="19"/>
      <c r="I145" s="15"/>
      <c r="J145" s="20"/>
      <c r="K145" s="86"/>
      <c r="L145" s="94"/>
    </row>
    <row r="146">
      <c r="A146" s="12" t="s">
        <v>282</v>
      </c>
      <c r="B146" s="13" t="s">
        <v>220</v>
      </c>
      <c r="C146" s="13" t="s">
        <v>140</v>
      </c>
      <c r="D146" s="13" t="s">
        <v>140</v>
      </c>
      <c r="E146" s="13">
        <v>7.0</v>
      </c>
      <c r="F146" s="19" t="s">
        <v>12</v>
      </c>
      <c r="G146" s="13"/>
      <c r="H146" s="19">
        <v>6.0</v>
      </c>
      <c r="I146" s="19">
        <v>5.0</v>
      </c>
      <c r="J146" s="20" t="s">
        <v>127</v>
      </c>
      <c r="K146" s="93"/>
      <c r="L146" s="19" t="s">
        <v>12</v>
      </c>
    </row>
    <row r="147">
      <c r="A147" s="12" t="s">
        <v>283</v>
      </c>
      <c r="B147" s="19" t="s">
        <v>60</v>
      </c>
      <c r="C147" s="19" t="s">
        <v>140</v>
      </c>
      <c r="D147" s="19" t="s">
        <v>140</v>
      </c>
      <c r="E147" s="19">
        <v>3.0</v>
      </c>
      <c r="F147" s="19" t="s">
        <v>12</v>
      </c>
      <c r="G147" s="19"/>
      <c r="H147" s="19">
        <v>12.0</v>
      </c>
      <c r="I147" s="19">
        <v>12.0</v>
      </c>
      <c r="J147" s="20" t="s">
        <v>127</v>
      </c>
      <c r="K147" s="93"/>
      <c r="L147" s="95"/>
    </row>
    <row r="148">
      <c r="A148" s="12"/>
      <c r="B148" s="9"/>
      <c r="C148" s="9"/>
      <c r="D148" s="9"/>
      <c r="E148" s="9"/>
      <c r="F148" s="9"/>
      <c r="G148" s="9"/>
      <c r="H148" s="9"/>
      <c r="I148" s="9"/>
      <c r="J148" s="20"/>
      <c r="K148" s="86"/>
      <c r="L148" s="94"/>
    </row>
    <row r="149">
      <c r="A149" s="12"/>
      <c r="B149" s="9"/>
      <c r="C149" s="9"/>
      <c r="D149" s="9"/>
      <c r="E149" s="9"/>
      <c r="F149" s="9"/>
      <c r="G149" s="9"/>
      <c r="H149" s="9"/>
      <c r="I149" s="15"/>
      <c r="J149" s="20"/>
      <c r="K149" s="86"/>
      <c r="L149" s="94"/>
    </row>
    <row r="150">
      <c r="A150" s="12" t="s">
        <v>284</v>
      </c>
      <c r="B150" s="25" t="s">
        <v>285</v>
      </c>
      <c r="C150" s="13" t="s">
        <v>140</v>
      </c>
      <c r="D150" s="13" t="s">
        <v>140</v>
      </c>
      <c r="E150" s="25">
        <v>0.0</v>
      </c>
      <c r="F150" s="19"/>
      <c r="G150" s="13"/>
      <c r="H150" s="19">
        <v>55.0</v>
      </c>
      <c r="I150" s="15">
        <f>PRODUCT(E150:H150)</f>
        <v>0</v>
      </c>
      <c r="J150" s="20" t="s">
        <v>127</v>
      </c>
      <c r="K150" s="93"/>
      <c r="L150" s="19" t="s">
        <v>12</v>
      </c>
    </row>
    <row r="151">
      <c r="A151" s="12" t="s">
        <v>284</v>
      </c>
      <c r="B151" s="25" t="s">
        <v>286</v>
      </c>
      <c r="C151" s="13" t="s">
        <v>287</v>
      </c>
      <c r="D151" s="13" t="s">
        <v>288</v>
      </c>
      <c r="E151" s="13">
        <v>0.0</v>
      </c>
      <c r="F151" s="13"/>
      <c r="G151" s="13"/>
      <c r="H151" s="19"/>
      <c r="I151" s="15"/>
      <c r="J151" s="20"/>
      <c r="K151" s="93"/>
      <c r="L151" s="19"/>
    </row>
    <row r="152">
      <c r="A152" s="12" t="s">
        <v>284</v>
      </c>
      <c r="B152" s="59" t="s">
        <v>286</v>
      </c>
      <c r="C152" s="13" t="s">
        <v>287</v>
      </c>
      <c r="D152" s="13" t="s">
        <v>195</v>
      </c>
      <c r="E152" s="13">
        <v>0.0</v>
      </c>
      <c r="F152" s="13"/>
      <c r="G152" s="13"/>
      <c r="H152" s="19"/>
      <c r="I152" s="15"/>
      <c r="J152" s="20"/>
      <c r="K152" s="93"/>
      <c r="L152" s="19"/>
    </row>
    <row r="153">
      <c r="A153" s="12" t="s">
        <v>284</v>
      </c>
      <c r="B153" s="13" t="s">
        <v>286</v>
      </c>
      <c r="C153" s="13" t="s">
        <v>140</v>
      </c>
      <c r="D153" s="13" t="s">
        <v>140</v>
      </c>
      <c r="E153" s="13">
        <v>1.0</v>
      </c>
      <c r="F153" s="13"/>
      <c r="G153" s="13"/>
      <c r="H153" s="19">
        <v>70.0</v>
      </c>
      <c r="I153" s="15">
        <f t="shared" ref="I153:I155" si="17">PRODUCT(E153:H153)</f>
        <v>70</v>
      </c>
      <c r="J153" s="20" t="s">
        <v>127</v>
      </c>
      <c r="K153" s="93"/>
      <c r="L153" s="19" t="s">
        <v>12</v>
      </c>
    </row>
    <row r="154">
      <c r="A154" s="12" t="s">
        <v>284</v>
      </c>
      <c r="B154" s="25" t="s">
        <v>289</v>
      </c>
      <c r="C154" s="13" t="s">
        <v>140</v>
      </c>
      <c r="D154" s="13"/>
      <c r="E154" s="25">
        <v>0.0</v>
      </c>
      <c r="F154" s="13"/>
      <c r="G154" s="13"/>
      <c r="H154" s="19">
        <v>30.0</v>
      </c>
      <c r="I154" s="15">
        <f t="shared" si="17"/>
        <v>0</v>
      </c>
      <c r="J154" s="20" t="s">
        <v>129</v>
      </c>
      <c r="K154" s="93"/>
      <c r="L154" s="95"/>
    </row>
    <row r="155">
      <c r="A155" s="12" t="s">
        <v>284</v>
      </c>
      <c r="B155" s="25" t="s">
        <v>290</v>
      </c>
      <c r="C155" s="13"/>
      <c r="D155" s="13" t="s">
        <v>140</v>
      </c>
      <c r="E155" s="25">
        <v>0.0</v>
      </c>
      <c r="F155" s="13"/>
      <c r="G155" s="19"/>
      <c r="H155" s="19">
        <v>40.0</v>
      </c>
      <c r="I155" s="15">
        <f t="shared" si="17"/>
        <v>0</v>
      </c>
      <c r="J155" s="20" t="s">
        <v>127</v>
      </c>
      <c r="K155" s="93"/>
      <c r="L155" s="95"/>
    </row>
    <row r="156">
      <c r="A156" s="12" t="s">
        <v>284</v>
      </c>
      <c r="B156" s="19" t="s">
        <v>291</v>
      </c>
      <c r="C156" s="9"/>
      <c r="D156" s="9"/>
      <c r="E156" s="19">
        <v>6.0</v>
      </c>
      <c r="F156" s="19"/>
      <c r="G156" s="19"/>
      <c r="H156" s="9"/>
      <c r="I156" s="15"/>
      <c r="J156" s="20" t="s">
        <v>127</v>
      </c>
      <c r="K156" s="86"/>
      <c r="L156" s="19" t="s">
        <v>12</v>
      </c>
    </row>
    <row r="157">
      <c r="A157" s="12"/>
      <c r="B157" s="9"/>
      <c r="C157" s="9"/>
      <c r="D157" s="9"/>
      <c r="E157" s="9"/>
      <c r="F157" s="9"/>
      <c r="G157" s="9"/>
      <c r="H157" s="9"/>
      <c r="I157" s="15"/>
      <c r="J157" s="20"/>
      <c r="K157" s="86"/>
      <c r="L157" s="94"/>
    </row>
    <row r="158">
      <c r="A158" s="12"/>
      <c r="B158" s="9"/>
      <c r="C158" s="9"/>
      <c r="D158" s="9"/>
      <c r="E158" s="9"/>
      <c r="F158" s="9"/>
      <c r="G158" s="9"/>
      <c r="H158" s="9"/>
      <c r="I158" s="15"/>
      <c r="J158" s="20"/>
      <c r="K158" s="86"/>
      <c r="L158" s="94"/>
    </row>
    <row r="159">
      <c r="A159" s="12" t="s">
        <v>292</v>
      </c>
      <c r="B159" s="13" t="s">
        <v>232</v>
      </c>
      <c r="C159" s="13" t="s">
        <v>293</v>
      </c>
      <c r="D159" s="13" t="s">
        <v>140</v>
      </c>
      <c r="E159" s="13">
        <v>1.0</v>
      </c>
      <c r="F159" s="13" t="s">
        <v>12</v>
      </c>
      <c r="G159" s="13"/>
      <c r="H159" s="19">
        <v>50.0</v>
      </c>
      <c r="I159" s="15">
        <f>PRODUCT(E159:H159)</f>
        <v>50</v>
      </c>
      <c r="J159" s="20" t="s">
        <v>127</v>
      </c>
      <c r="K159" s="93"/>
      <c r="L159" s="19" t="s">
        <v>12</v>
      </c>
    </row>
    <row r="160">
      <c r="A160" s="12" t="s">
        <v>294</v>
      </c>
      <c r="B160" s="19" t="s">
        <v>140</v>
      </c>
      <c r="C160" s="19" t="s">
        <v>140</v>
      </c>
      <c r="D160" s="9"/>
      <c r="E160" s="13">
        <v>3.0</v>
      </c>
      <c r="F160" s="13"/>
      <c r="G160" s="19"/>
      <c r="H160" s="19"/>
      <c r="I160" s="9"/>
      <c r="J160" s="20"/>
      <c r="K160" s="93"/>
      <c r="L160" s="19" t="s">
        <v>12</v>
      </c>
    </row>
    <row r="161">
      <c r="A161" s="12" t="s">
        <v>295</v>
      </c>
      <c r="B161" s="19" t="s">
        <v>140</v>
      </c>
      <c r="C161" s="19" t="s">
        <v>140</v>
      </c>
      <c r="D161" s="9"/>
      <c r="E161" s="13">
        <v>3.0</v>
      </c>
      <c r="F161" s="13"/>
      <c r="G161" s="19"/>
      <c r="H161" s="19"/>
      <c r="I161" s="9"/>
      <c r="J161" s="20"/>
      <c r="K161" s="93"/>
      <c r="L161" s="19" t="s">
        <v>12</v>
      </c>
    </row>
    <row r="162">
      <c r="A162" s="12"/>
      <c r="B162" s="9"/>
      <c r="C162" s="9"/>
      <c r="D162" s="9"/>
      <c r="E162" s="9"/>
      <c r="F162" s="9"/>
      <c r="G162" s="9"/>
      <c r="H162" s="19"/>
      <c r="I162" s="9"/>
      <c r="J162" s="20"/>
      <c r="K162" s="86"/>
      <c r="L162" s="94"/>
    </row>
    <row r="163">
      <c r="A163" s="12" t="s">
        <v>296</v>
      </c>
      <c r="B163" s="25" t="s">
        <v>128</v>
      </c>
      <c r="C163" s="13" t="s">
        <v>220</v>
      </c>
      <c r="D163" s="13" t="s">
        <v>140</v>
      </c>
      <c r="E163" s="25">
        <v>0.0</v>
      </c>
      <c r="F163" s="13"/>
      <c r="G163" s="13"/>
      <c r="H163" s="12">
        <v>7.0</v>
      </c>
      <c r="I163" s="15">
        <f>PRODUCT(E163:H163)</f>
        <v>0</v>
      </c>
      <c r="J163" s="20" t="s">
        <v>127</v>
      </c>
      <c r="K163" s="93"/>
      <c r="L163" s="95"/>
    </row>
    <row r="164">
      <c r="A164" s="12" t="s">
        <v>296</v>
      </c>
      <c r="B164" s="25" t="s">
        <v>297</v>
      </c>
      <c r="C164" s="29"/>
      <c r="D164" s="29"/>
      <c r="E164" s="25">
        <v>0.0</v>
      </c>
      <c r="F164" s="19"/>
      <c r="G164" s="9"/>
      <c r="H164" s="12"/>
      <c r="I164" s="9"/>
      <c r="J164" s="20"/>
      <c r="K164" s="86"/>
      <c r="L164" s="94"/>
    </row>
    <row r="165">
      <c r="A165" s="12" t="s">
        <v>296</v>
      </c>
      <c r="B165" s="19" t="s">
        <v>78</v>
      </c>
      <c r="C165" s="19" t="s">
        <v>298</v>
      </c>
      <c r="D165" s="9"/>
      <c r="E165" s="19">
        <v>1.0</v>
      </c>
      <c r="F165" s="19"/>
      <c r="G165" s="9"/>
      <c r="H165" s="12"/>
      <c r="I165" s="9"/>
      <c r="J165" s="20"/>
      <c r="K165" s="86"/>
      <c r="L165" s="94"/>
    </row>
    <row r="166">
      <c r="A166" s="12"/>
      <c r="B166" s="9"/>
      <c r="C166" s="9"/>
      <c r="D166" s="9"/>
      <c r="E166" s="9"/>
      <c r="F166" s="9"/>
      <c r="G166" s="9"/>
      <c r="H166" s="12"/>
      <c r="I166" s="9"/>
      <c r="J166" s="20"/>
      <c r="K166" s="86"/>
      <c r="L166" s="94"/>
    </row>
    <row r="167">
      <c r="A167" s="12" t="s">
        <v>299</v>
      </c>
      <c r="B167" s="25" t="s">
        <v>300</v>
      </c>
      <c r="C167" s="19" t="s">
        <v>301</v>
      </c>
      <c r="D167" s="19" t="s">
        <v>140</v>
      </c>
      <c r="E167" s="25">
        <v>0.0</v>
      </c>
      <c r="F167" s="19"/>
      <c r="G167" s="19"/>
      <c r="H167" s="19">
        <v>60.0</v>
      </c>
      <c r="I167" s="15">
        <f>PRODUCT(E167:H167)</f>
        <v>0</v>
      </c>
      <c r="J167" s="20" t="s">
        <v>127</v>
      </c>
      <c r="K167" s="93"/>
      <c r="L167" s="19" t="s">
        <v>12</v>
      </c>
    </row>
    <row r="168">
      <c r="A168" s="12"/>
      <c r="B168" s="9"/>
      <c r="C168" s="9"/>
      <c r="D168" s="9"/>
      <c r="E168" s="9"/>
      <c r="F168" s="9"/>
      <c r="G168" s="9"/>
      <c r="H168" s="9"/>
      <c r="I168" s="9"/>
      <c r="J168" s="20"/>
      <c r="K168" s="86"/>
      <c r="L168" s="94"/>
    </row>
    <row r="169">
      <c r="A169" s="12"/>
      <c r="B169" s="9"/>
      <c r="C169" s="9"/>
      <c r="D169" s="9"/>
      <c r="E169" s="9"/>
      <c r="F169" s="9"/>
      <c r="G169" s="9"/>
      <c r="H169" s="9"/>
      <c r="I169" s="9"/>
      <c r="J169" s="20"/>
      <c r="K169" s="86"/>
      <c r="L169" s="94"/>
    </row>
    <row r="170">
      <c r="A170" s="12" t="s">
        <v>302</v>
      </c>
      <c r="B170" s="19" t="s">
        <v>220</v>
      </c>
      <c r="C170" s="19" t="s">
        <v>303</v>
      </c>
      <c r="D170" s="19" t="s">
        <v>140</v>
      </c>
      <c r="E170" s="19">
        <v>19.0</v>
      </c>
      <c r="F170" s="13"/>
      <c r="G170" s="13"/>
      <c r="H170" s="19">
        <v>2.5</v>
      </c>
      <c r="I170" s="15">
        <f t="shared" ref="I170:I173" si="18">PRODUCT(E170:H170)</f>
        <v>47.5</v>
      </c>
      <c r="J170" s="20" t="s">
        <v>127</v>
      </c>
      <c r="K170" s="93"/>
      <c r="L170" s="19" t="s">
        <v>12</v>
      </c>
    </row>
    <row r="171">
      <c r="A171" s="12" t="s">
        <v>302</v>
      </c>
      <c r="B171" s="19" t="s">
        <v>304</v>
      </c>
      <c r="C171" s="19" t="s">
        <v>83</v>
      </c>
      <c r="D171" s="9"/>
      <c r="E171" s="19">
        <v>1.0</v>
      </c>
      <c r="F171" s="19"/>
      <c r="G171" s="19"/>
      <c r="H171" s="19">
        <v>2.5</v>
      </c>
      <c r="I171" s="15">
        <f t="shared" si="18"/>
        <v>2.5</v>
      </c>
      <c r="J171" s="20" t="s">
        <v>127</v>
      </c>
      <c r="K171" s="93"/>
      <c r="L171" s="19" t="s">
        <v>12</v>
      </c>
    </row>
    <row r="172">
      <c r="A172" s="12" t="s">
        <v>302</v>
      </c>
      <c r="B172" s="19" t="s">
        <v>304</v>
      </c>
      <c r="C172" s="19" t="s">
        <v>195</v>
      </c>
      <c r="D172" s="9"/>
      <c r="E172" s="19">
        <v>1.0</v>
      </c>
      <c r="F172" s="19"/>
      <c r="G172" s="19"/>
      <c r="H172" s="19">
        <v>2.5</v>
      </c>
      <c r="I172" s="15">
        <f t="shared" si="18"/>
        <v>2.5</v>
      </c>
      <c r="J172" s="20" t="s">
        <v>127</v>
      </c>
      <c r="K172" s="93"/>
      <c r="L172" s="19" t="s">
        <v>12</v>
      </c>
    </row>
    <row r="173">
      <c r="A173" s="12" t="s">
        <v>302</v>
      </c>
      <c r="B173" s="19" t="s">
        <v>304</v>
      </c>
      <c r="C173" s="19" t="s">
        <v>288</v>
      </c>
      <c r="D173" s="9"/>
      <c r="E173" s="19">
        <v>1.0</v>
      </c>
      <c r="F173" s="19"/>
      <c r="G173" s="19"/>
      <c r="H173" s="19">
        <v>2.5</v>
      </c>
      <c r="I173" s="15">
        <f t="shared" si="18"/>
        <v>2.5</v>
      </c>
      <c r="J173" s="20" t="s">
        <v>127</v>
      </c>
      <c r="K173" s="93"/>
      <c r="L173" s="19" t="s">
        <v>12</v>
      </c>
    </row>
    <row r="174">
      <c r="A174" s="12"/>
      <c r="B174" s="9"/>
      <c r="C174" s="9"/>
      <c r="D174" s="9"/>
      <c r="E174" s="9"/>
      <c r="F174" s="9"/>
      <c r="G174" s="9"/>
      <c r="H174" s="9"/>
      <c r="I174" s="9"/>
      <c r="J174" s="20"/>
      <c r="K174" s="86"/>
      <c r="L174" s="94"/>
    </row>
    <row r="175">
      <c r="A175" s="12" t="s">
        <v>305</v>
      </c>
      <c r="B175" s="13" t="s">
        <v>306</v>
      </c>
      <c r="C175" s="13" t="s">
        <v>140</v>
      </c>
      <c r="D175" s="13" t="s">
        <v>140</v>
      </c>
      <c r="E175" s="13">
        <v>3.0</v>
      </c>
      <c r="F175" s="13" t="s">
        <v>12</v>
      </c>
      <c r="G175" s="13"/>
      <c r="H175" s="19">
        <v>45.0</v>
      </c>
      <c r="I175" s="15">
        <f t="shared" ref="I175:I177" si="19">PRODUCT(E175:H175)</f>
        <v>135</v>
      </c>
      <c r="J175" s="20" t="s">
        <v>127</v>
      </c>
      <c r="K175" s="93"/>
      <c r="L175" s="95"/>
    </row>
    <row r="176">
      <c r="A176" s="12" t="s">
        <v>305</v>
      </c>
      <c r="B176" s="19" t="s">
        <v>71</v>
      </c>
      <c r="C176" s="19" t="s">
        <v>140</v>
      </c>
      <c r="D176" s="19" t="s">
        <v>140</v>
      </c>
      <c r="E176" s="19">
        <v>1.0</v>
      </c>
      <c r="F176" s="19" t="s">
        <v>12</v>
      </c>
      <c r="G176" s="19"/>
      <c r="H176" s="19">
        <v>45.0</v>
      </c>
      <c r="I176" s="15">
        <f t="shared" si="19"/>
        <v>45</v>
      </c>
      <c r="J176" s="20" t="s">
        <v>127</v>
      </c>
      <c r="K176" s="86"/>
      <c r="L176" s="95"/>
    </row>
    <row r="177">
      <c r="A177" s="12" t="s">
        <v>305</v>
      </c>
      <c r="B177" s="19" t="s">
        <v>307</v>
      </c>
      <c r="C177" s="19" t="s">
        <v>140</v>
      </c>
      <c r="D177" s="19" t="s">
        <v>140</v>
      </c>
      <c r="E177" s="19">
        <v>1.0</v>
      </c>
      <c r="F177" s="19" t="s">
        <v>12</v>
      </c>
      <c r="G177" s="19"/>
      <c r="H177" s="19">
        <v>45.0</v>
      </c>
      <c r="I177" s="15">
        <f t="shared" si="19"/>
        <v>45</v>
      </c>
      <c r="J177" s="20" t="s">
        <v>127</v>
      </c>
      <c r="K177" s="86"/>
      <c r="L177" s="95"/>
    </row>
    <row r="178">
      <c r="A178" s="12" t="s">
        <v>305</v>
      </c>
      <c r="B178" s="13" t="s">
        <v>78</v>
      </c>
      <c r="C178" s="13" t="s">
        <v>140</v>
      </c>
      <c r="D178" s="13" t="s">
        <v>140</v>
      </c>
      <c r="E178" s="13">
        <v>2.0</v>
      </c>
      <c r="F178" s="19" t="s">
        <v>12</v>
      </c>
      <c r="G178" s="9"/>
      <c r="H178" s="9"/>
      <c r="I178" s="9"/>
      <c r="J178" s="20"/>
      <c r="K178" s="86"/>
      <c r="L178" s="94"/>
    </row>
    <row r="179">
      <c r="A179" s="12" t="s">
        <v>305</v>
      </c>
      <c r="B179" s="13" t="s">
        <v>308</v>
      </c>
      <c r="C179" s="29"/>
      <c r="D179" s="29"/>
      <c r="E179" s="13">
        <v>1.0</v>
      </c>
      <c r="F179" s="19" t="s">
        <v>12</v>
      </c>
      <c r="G179" s="9"/>
      <c r="H179" s="9"/>
      <c r="I179" s="9"/>
      <c r="J179" s="20"/>
      <c r="K179" s="86"/>
      <c r="L179" s="94"/>
    </row>
    <row r="180">
      <c r="A180" s="12" t="s">
        <v>305</v>
      </c>
      <c r="B180" s="25" t="s">
        <v>309</v>
      </c>
      <c r="C180" s="9"/>
      <c r="D180" s="9"/>
      <c r="E180" s="25">
        <v>0.0</v>
      </c>
      <c r="F180" s="19" t="s">
        <v>12</v>
      </c>
      <c r="G180" s="9"/>
      <c r="H180" s="9"/>
      <c r="I180" s="9"/>
      <c r="J180" s="20"/>
      <c r="K180" s="86"/>
      <c r="L180" s="94"/>
    </row>
    <row r="181">
      <c r="A181" s="12"/>
      <c r="B181" s="9"/>
      <c r="C181" s="9"/>
      <c r="D181" s="9"/>
      <c r="E181" s="9"/>
      <c r="F181" s="9"/>
      <c r="G181" s="9"/>
      <c r="H181" s="9"/>
      <c r="I181" s="9"/>
      <c r="J181" s="20"/>
      <c r="K181" s="86"/>
      <c r="L181" s="94"/>
    </row>
    <row r="182">
      <c r="A182" s="12" t="s">
        <v>310</v>
      </c>
      <c r="B182" s="19" t="s">
        <v>140</v>
      </c>
      <c r="D182" s="19" t="s">
        <v>140</v>
      </c>
      <c r="E182" s="19">
        <v>8.0</v>
      </c>
      <c r="F182" s="19" t="s">
        <v>12</v>
      </c>
      <c r="G182" s="19"/>
      <c r="H182" s="19">
        <v>18.0</v>
      </c>
      <c r="I182" s="15">
        <f>PRODUCT(E182:H182)</f>
        <v>144</v>
      </c>
      <c r="J182" s="20" t="s">
        <v>127</v>
      </c>
      <c r="K182" s="93"/>
      <c r="L182" s="19" t="s">
        <v>12</v>
      </c>
    </row>
    <row r="183">
      <c r="A183" s="12"/>
      <c r="B183" s="9"/>
      <c r="C183" s="9"/>
      <c r="D183" s="9"/>
      <c r="E183" s="9"/>
      <c r="F183" s="9"/>
      <c r="G183" s="9"/>
      <c r="H183" s="9"/>
      <c r="I183" s="9"/>
      <c r="J183" s="20"/>
      <c r="K183" s="86"/>
      <c r="L183" s="94"/>
    </row>
    <row r="184">
      <c r="A184" s="12" t="s">
        <v>311</v>
      </c>
      <c r="B184" s="19" t="s">
        <v>140</v>
      </c>
      <c r="C184" s="19" t="s">
        <v>140</v>
      </c>
      <c r="D184" s="19" t="s">
        <v>140</v>
      </c>
      <c r="E184" s="25">
        <v>0.0</v>
      </c>
      <c r="F184" s="19"/>
      <c r="G184" s="19"/>
      <c r="H184" s="19">
        <v>8.0</v>
      </c>
      <c r="I184" s="15">
        <f>PRODUCT(E184:H184)</f>
        <v>0</v>
      </c>
      <c r="J184" s="20" t="s">
        <v>127</v>
      </c>
      <c r="K184" s="86"/>
      <c r="L184" s="95"/>
    </row>
    <row r="185">
      <c r="A185" s="12"/>
      <c r="B185" s="9"/>
      <c r="C185" s="9"/>
      <c r="D185" s="9"/>
      <c r="E185" s="9"/>
      <c r="F185" s="9"/>
      <c r="G185" s="9"/>
      <c r="H185" s="9"/>
      <c r="I185" s="9"/>
      <c r="J185" s="20"/>
      <c r="K185" s="86"/>
      <c r="L185" s="94"/>
    </row>
    <row r="186">
      <c r="A186" s="12" t="s">
        <v>312</v>
      </c>
      <c r="B186" s="9"/>
      <c r="C186" s="9"/>
      <c r="D186" s="9"/>
      <c r="E186" s="19">
        <v>1.0</v>
      </c>
      <c r="F186" s="19" t="s">
        <v>12</v>
      </c>
      <c r="G186" s="9"/>
      <c r="H186" s="19">
        <v>25.0</v>
      </c>
      <c r="I186" s="9"/>
      <c r="J186" s="20" t="s">
        <v>127</v>
      </c>
      <c r="K186" s="93"/>
      <c r="L186" s="19" t="s">
        <v>12</v>
      </c>
    </row>
    <row r="187">
      <c r="A187" s="12"/>
      <c r="B187" s="9"/>
      <c r="C187" s="9"/>
      <c r="D187" s="9"/>
      <c r="E187" s="9"/>
      <c r="F187" s="9"/>
      <c r="G187" s="9"/>
      <c r="H187" s="9"/>
      <c r="I187" s="9"/>
      <c r="J187" s="20"/>
      <c r="K187" s="86"/>
    </row>
    <row r="188">
      <c r="A188" s="26" t="s">
        <v>313</v>
      </c>
      <c r="B188" s="9"/>
      <c r="C188" s="9"/>
      <c r="D188" s="9"/>
      <c r="E188" s="25">
        <v>0.0</v>
      </c>
      <c r="F188" s="19"/>
      <c r="G188" s="9"/>
      <c r="H188" s="19">
        <v>5.0</v>
      </c>
      <c r="I188" s="9"/>
      <c r="J188" s="20" t="s">
        <v>127</v>
      </c>
      <c r="K188" s="93"/>
      <c r="L188" s="19" t="s">
        <v>12</v>
      </c>
    </row>
    <row r="189">
      <c r="A189" s="12"/>
      <c r="B189" s="9"/>
      <c r="C189" s="9"/>
      <c r="D189" s="9"/>
      <c r="E189" s="9"/>
      <c r="F189" s="9"/>
      <c r="G189" s="9"/>
      <c r="H189" s="9"/>
      <c r="I189" s="9"/>
      <c r="J189" s="20"/>
      <c r="K189" s="86"/>
    </row>
    <row r="190">
      <c r="A190" s="12" t="s">
        <v>314</v>
      </c>
      <c r="B190" s="25" t="s">
        <v>315</v>
      </c>
      <c r="C190" s="19" t="s">
        <v>316</v>
      </c>
      <c r="D190" s="19" t="s">
        <v>140</v>
      </c>
      <c r="E190" s="25">
        <v>0.0</v>
      </c>
      <c r="F190" s="19"/>
      <c r="G190" s="9"/>
      <c r="H190" s="9"/>
      <c r="I190" s="9"/>
      <c r="J190" s="20" t="s">
        <v>127</v>
      </c>
      <c r="K190" s="86"/>
      <c r="L190" s="19" t="s">
        <v>12</v>
      </c>
    </row>
    <row r="191">
      <c r="A191" s="12" t="s">
        <v>314</v>
      </c>
      <c r="B191" s="19" t="s">
        <v>317</v>
      </c>
      <c r="C191" s="19" t="s">
        <v>316</v>
      </c>
      <c r="D191" s="19" t="s">
        <v>140</v>
      </c>
      <c r="E191" s="19">
        <v>1.0</v>
      </c>
      <c r="F191" s="19"/>
      <c r="G191" s="9"/>
      <c r="H191" s="19"/>
      <c r="I191" s="9"/>
      <c r="J191" s="20" t="s">
        <v>127</v>
      </c>
      <c r="K191" s="86"/>
      <c r="L191" s="19" t="s">
        <v>12</v>
      </c>
    </row>
    <row r="192">
      <c r="A192" s="12" t="s">
        <v>314</v>
      </c>
      <c r="B192" s="19" t="s">
        <v>109</v>
      </c>
      <c r="C192" s="19" t="s">
        <v>316</v>
      </c>
      <c r="D192" s="19" t="s">
        <v>140</v>
      </c>
      <c r="E192" s="25">
        <v>0.0</v>
      </c>
      <c r="F192" s="19"/>
      <c r="G192" s="9"/>
      <c r="H192" s="9"/>
      <c r="I192" s="9"/>
      <c r="J192" s="20" t="s">
        <v>127</v>
      </c>
      <c r="K192" s="86"/>
      <c r="L192" s="19" t="s">
        <v>12</v>
      </c>
    </row>
    <row r="193">
      <c r="A193" s="12" t="s">
        <v>318</v>
      </c>
      <c r="B193" s="19" t="s">
        <v>319</v>
      </c>
      <c r="C193" s="19" t="s">
        <v>320</v>
      </c>
      <c r="D193" s="19" t="s">
        <v>140</v>
      </c>
      <c r="E193" s="19">
        <v>1.0</v>
      </c>
      <c r="F193" s="19"/>
      <c r="G193" s="19"/>
      <c r="H193" s="19"/>
      <c r="I193" s="19"/>
      <c r="J193" s="20" t="s">
        <v>127</v>
      </c>
      <c r="K193" s="82"/>
      <c r="L193" s="19" t="s">
        <v>12</v>
      </c>
      <c r="M193" s="99"/>
    </row>
    <row r="194">
      <c r="A194" s="12"/>
      <c r="B194" s="9"/>
      <c r="C194" s="9"/>
      <c r="D194" s="9"/>
      <c r="E194" s="9"/>
      <c r="F194" s="9"/>
      <c r="G194" s="9"/>
      <c r="H194" s="9"/>
      <c r="I194" s="9"/>
      <c r="J194" s="20"/>
      <c r="K194" s="86"/>
    </row>
    <row r="195">
      <c r="A195" s="12" t="s">
        <v>321</v>
      </c>
      <c r="B195" s="19" t="s">
        <v>322</v>
      </c>
      <c r="C195" s="19"/>
      <c r="D195" s="19"/>
      <c r="E195" s="19">
        <v>3.0</v>
      </c>
      <c r="F195" s="19"/>
      <c r="G195" s="19"/>
      <c r="H195" s="19"/>
      <c r="I195" s="19"/>
      <c r="J195" s="20"/>
      <c r="K195" s="82"/>
      <c r="L195" s="99"/>
    </row>
    <row r="196">
      <c r="A196" s="12"/>
      <c r="B196" s="19" t="s">
        <v>323</v>
      </c>
      <c r="C196" s="9"/>
      <c r="D196" s="9"/>
      <c r="E196" s="19">
        <v>2.0</v>
      </c>
      <c r="F196" s="19"/>
      <c r="G196" s="9"/>
      <c r="H196" s="9"/>
      <c r="I196" s="9"/>
      <c r="J196" s="20"/>
      <c r="K196" s="86"/>
    </row>
    <row r="197">
      <c r="A197" s="12"/>
      <c r="B197" s="19" t="s">
        <v>324</v>
      </c>
      <c r="C197" s="19"/>
      <c r="D197" s="19"/>
      <c r="E197" s="19">
        <v>3.0</v>
      </c>
      <c r="F197" s="19"/>
      <c r="G197" s="19"/>
      <c r="H197" s="19"/>
      <c r="I197" s="19"/>
      <c r="J197" s="20"/>
      <c r="K197" s="82"/>
      <c r="M197" s="99"/>
      <c r="N197" s="100"/>
    </row>
    <row r="198">
      <c r="A198" s="12"/>
      <c r="B198" s="19" t="s">
        <v>325</v>
      </c>
      <c r="C198" s="9"/>
      <c r="D198" s="9"/>
      <c r="E198" s="19">
        <v>3.0</v>
      </c>
      <c r="F198" s="19"/>
      <c r="G198" s="9"/>
      <c r="H198" s="9"/>
      <c r="I198" s="9"/>
      <c r="J198" s="20"/>
    </row>
    <row r="199">
      <c r="A199" s="12"/>
      <c r="B199" s="19" t="s">
        <v>326</v>
      </c>
      <c r="C199" s="9"/>
      <c r="D199" s="19"/>
      <c r="E199" s="19">
        <v>4.0</v>
      </c>
      <c r="F199" s="19"/>
      <c r="G199" s="9"/>
      <c r="H199" s="9"/>
      <c r="I199" s="9"/>
      <c r="J199" s="20"/>
      <c r="K199" s="99"/>
    </row>
    <row r="200">
      <c r="A200" s="12"/>
      <c r="B200" s="9"/>
      <c r="C200" s="9"/>
      <c r="D200" s="9"/>
      <c r="E200" s="9"/>
      <c r="F200" s="9"/>
      <c r="G200" s="9"/>
      <c r="H200" s="9"/>
      <c r="I200" s="9"/>
      <c r="J200" s="20"/>
    </row>
    <row r="201">
      <c r="A201" s="12"/>
      <c r="B201" s="9"/>
      <c r="C201" s="9"/>
      <c r="D201" s="9"/>
      <c r="E201" s="9"/>
      <c r="F201" s="9"/>
      <c r="G201" s="9"/>
      <c r="H201" s="9"/>
      <c r="I201" s="101"/>
      <c r="J201" s="20"/>
    </row>
    <row r="202">
      <c r="A202" s="12"/>
      <c r="B202" s="9"/>
      <c r="C202" s="19"/>
      <c r="D202" s="9"/>
      <c r="E202" s="19"/>
      <c r="F202" s="19"/>
      <c r="G202" s="19"/>
      <c r="H202" s="19"/>
      <c r="I202" s="19"/>
      <c r="J202" s="20"/>
      <c r="K202" s="99"/>
    </row>
    <row r="203">
      <c r="A203" s="12"/>
      <c r="B203" s="9"/>
      <c r="C203" s="9"/>
      <c r="D203" s="9"/>
      <c r="E203" s="19"/>
      <c r="F203" s="19"/>
      <c r="G203" s="19"/>
      <c r="H203" s="19"/>
      <c r="I203" s="19"/>
      <c r="J203" s="20"/>
    </row>
    <row r="204">
      <c r="A204" s="12"/>
      <c r="B204" s="9"/>
      <c r="C204" s="19"/>
      <c r="D204" s="9"/>
      <c r="E204" s="9"/>
      <c r="F204" s="9"/>
      <c r="G204" s="9"/>
      <c r="H204" s="9"/>
      <c r="I204" s="9"/>
      <c r="J204" s="20"/>
    </row>
    <row r="205">
      <c r="A205" s="12"/>
      <c r="B205" s="9"/>
      <c r="C205" s="9"/>
      <c r="D205" s="9"/>
      <c r="E205" s="9"/>
      <c r="F205" s="9"/>
      <c r="G205" s="9"/>
      <c r="H205" s="9"/>
      <c r="I205" s="9"/>
      <c r="J205" s="20"/>
    </row>
    <row r="206">
      <c r="A206" s="12"/>
      <c r="B206" s="9"/>
      <c r="C206" s="9"/>
      <c r="D206" s="9"/>
      <c r="E206" s="9"/>
      <c r="F206" s="9"/>
      <c r="G206" s="9"/>
      <c r="H206" s="9"/>
      <c r="I206" s="9"/>
      <c r="J206" s="20"/>
    </row>
    <row r="207">
      <c r="A207" s="12"/>
      <c r="B207" s="9"/>
      <c r="C207" s="9"/>
      <c r="D207" s="9"/>
      <c r="E207" s="9"/>
      <c r="F207" s="9"/>
      <c r="G207" s="9"/>
      <c r="H207" s="9"/>
      <c r="I207" s="9"/>
      <c r="J207" s="20"/>
    </row>
    <row r="208">
      <c r="A208" s="12"/>
      <c r="B208" s="9"/>
      <c r="C208" s="9"/>
      <c r="D208" s="9"/>
      <c r="E208" s="9"/>
      <c r="F208" s="9"/>
      <c r="G208" s="9"/>
      <c r="H208" s="9"/>
      <c r="I208" s="9"/>
      <c r="J208" s="20"/>
    </row>
    <row r="209">
      <c r="A209" s="12"/>
      <c r="B209" s="9"/>
      <c r="C209" s="9"/>
      <c r="D209" s="9"/>
      <c r="E209" s="9"/>
      <c r="F209" s="9"/>
      <c r="G209" s="9"/>
      <c r="H209" s="9"/>
      <c r="I209" s="9"/>
      <c r="J209" s="20"/>
    </row>
    <row r="210">
      <c r="A210" s="12"/>
      <c r="B210" s="9"/>
      <c r="C210" s="9"/>
      <c r="D210" s="9"/>
      <c r="E210" s="9"/>
      <c r="F210" s="9"/>
      <c r="G210" s="9"/>
      <c r="H210" s="9"/>
      <c r="I210" s="9"/>
      <c r="J210" s="20"/>
    </row>
    <row r="211">
      <c r="A211" s="20"/>
      <c r="B211" s="9"/>
      <c r="C211" s="9"/>
      <c r="D211" s="9"/>
      <c r="E211" s="9"/>
      <c r="F211" s="9"/>
      <c r="G211" s="9"/>
      <c r="H211" s="9"/>
      <c r="I211" s="9"/>
      <c r="J211" s="20"/>
    </row>
    <row r="212">
      <c r="A212" s="12"/>
      <c r="B212" s="9"/>
      <c r="C212" s="9"/>
      <c r="D212" s="9"/>
      <c r="E212" s="9"/>
      <c r="F212" s="9"/>
      <c r="G212" s="9"/>
      <c r="H212" s="9"/>
      <c r="I212" s="9"/>
      <c r="J212" s="20"/>
    </row>
    <row r="213">
      <c r="A213" s="12"/>
      <c r="B213" s="9"/>
      <c r="C213" s="9"/>
      <c r="D213" s="9"/>
      <c r="E213" s="9"/>
      <c r="F213" s="9"/>
      <c r="G213" s="9"/>
      <c r="H213" s="9"/>
      <c r="I213" s="9"/>
      <c r="J213" s="20"/>
    </row>
    <row r="214">
      <c r="A214" s="12"/>
      <c r="B214" s="9"/>
      <c r="C214" s="9"/>
      <c r="D214" s="9"/>
      <c r="E214" s="9"/>
      <c r="F214" s="9"/>
      <c r="G214" s="9"/>
      <c r="H214" s="9"/>
      <c r="I214" s="9"/>
      <c r="J214" s="20"/>
    </row>
    <row r="215">
      <c r="A215" s="12"/>
      <c r="B215" s="9"/>
      <c r="C215" s="9"/>
      <c r="D215" s="9"/>
      <c r="E215" s="9"/>
      <c r="F215" s="9"/>
      <c r="G215" s="9"/>
      <c r="H215" s="9"/>
      <c r="I215" s="9"/>
      <c r="J215" s="20"/>
    </row>
    <row r="216">
      <c r="A216" s="12"/>
      <c r="B216" s="9"/>
      <c r="C216" s="9"/>
      <c r="D216" s="9"/>
      <c r="E216" s="9"/>
      <c r="F216" s="9"/>
      <c r="G216" s="9"/>
      <c r="H216" s="9"/>
      <c r="I216" s="9"/>
      <c r="J216" s="20"/>
    </row>
    <row r="217">
      <c r="A217" s="12"/>
      <c r="B217" s="9"/>
      <c r="C217" s="9"/>
      <c r="D217" s="9"/>
      <c r="E217" s="9"/>
      <c r="F217" s="9"/>
      <c r="G217" s="9"/>
      <c r="H217" s="9"/>
      <c r="I217" s="9"/>
      <c r="J217" s="20"/>
    </row>
    <row r="218">
      <c r="A218" s="12"/>
      <c r="B218" s="9"/>
      <c r="C218" s="9"/>
      <c r="D218" s="9"/>
      <c r="E218" s="9"/>
      <c r="F218" s="9"/>
      <c r="G218" s="9"/>
      <c r="H218" s="9"/>
      <c r="I218" s="9"/>
      <c r="J218" s="20"/>
    </row>
    <row r="219">
      <c r="A219" s="12"/>
      <c r="B219" s="9"/>
      <c r="C219" s="9"/>
      <c r="D219" s="9"/>
      <c r="E219" s="9"/>
      <c r="F219" s="9"/>
      <c r="G219" s="9"/>
      <c r="H219" s="9"/>
      <c r="I219" s="9"/>
      <c r="J219" s="20"/>
    </row>
    <row r="220">
      <c r="A220" s="12"/>
      <c r="B220" s="9"/>
      <c r="C220" s="9"/>
      <c r="D220" s="9"/>
      <c r="E220" s="9"/>
      <c r="F220" s="9"/>
      <c r="G220" s="9"/>
      <c r="H220" s="9"/>
      <c r="I220" s="9"/>
      <c r="J220" s="20"/>
    </row>
    <row r="221">
      <c r="A221" s="12"/>
      <c r="B221" s="9"/>
      <c r="C221" s="9"/>
      <c r="D221" s="9"/>
      <c r="E221" s="9"/>
      <c r="F221" s="9"/>
      <c r="G221" s="9"/>
      <c r="H221" s="9"/>
      <c r="I221" s="9"/>
      <c r="J221" s="20"/>
    </row>
    <row r="222">
      <c r="A222" s="12"/>
      <c r="B222" s="9"/>
      <c r="C222" s="9"/>
      <c r="D222" s="9"/>
      <c r="E222" s="9"/>
      <c r="F222" s="9"/>
      <c r="G222" s="9"/>
      <c r="H222" s="9"/>
      <c r="I222" s="9"/>
      <c r="J222" s="20"/>
    </row>
    <row r="223">
      <c r="A223" s="12"/>
      <c r="B223" s="9"/>
      <c r="C223" s="9"/>
      <c r="D223" s="9"/>
      <c r="E223" s="9"/>
      <c r="F223" s="9"/>
      <c r="G223" s="9"/>
      <c r="H223" s="9"/>
      <c r="I223" s="9"/>
      <c r="J223" s="20"/>
    </row>
    <row r="224">
      <c r="A224" s="12"/>
      <c r="B224" s="9"/>
      <c r="C224" s="9"/>
      <c r="D224" s="9"/>
      <c r="E224" s="9"/>
      <c r="F224" s="9"/>
      <c r="G224" s="9"/>
      <c r="H224" s="9"/>
      <c r="I224" s="9"/>
      <c r="J224" s="20"/>
    </row>
    <row r="225">
      <c r="A225" s="12"/>
      <c r="B225" s="9"/>
      <c r="C225" s="9"/>
      <c r="D225" s="9"/>
      <c r="E225" s="9"/>
      <c r="F225" s="9"/>
      <c r="G225" s="9"/>
      <c r="H225" s="9"/>
      <c r="I225" s="9"/>
      <c r="J225" s="20"/>
    </row>
    <row r="226">
      <c r="A226" s="12"/>
      <c r="B226" s="9"/>
      <c r="C226" s="9"/>
      <c r="D226" s="9"/>
      <c r="E226" s="9"/>
      <c r="F226" s="9"/>
      <c r="G226" s="9"/>
      <c r="H226" s="9"/>
      <c r="I226" s="9"/>
      <c r="J226" s="20"/>
    </row>
    <row r="227">
      <c r="A227" s="12"/>
      <c r="B227" s="9"/>
      <c r="C227" s="9"/>
      <c r="D227" s="9"/>
      <c r="E227" s="9"/>
      <c r="F227" s="9"/>
      <c r="G227" s="9"/>
      <c r="H227" s="9"/>
      <c r="I227" s="9"/>
      <c r="J227" s="20"/>
    </row>
    <row r="228">
      <c r="A228" s="12"/>
      <c r="B228" s="9"/>
      <c r="C228" s="9"/>
      <c r="D228" s="9"/>
      <c r="E228" s="9"/>
      <c r="F228" s="9"/>
      <c r="G228" s="9"/>
      <c r="H228" s="9"/>
      <c r="I228" s="9"/>
      <c r="J228" s="20"/>
    </row>
    <row r="229">
      <c r="A229" s="12"/>
      <c r="B229" s="9"/>
      <c r="C229" s="9"/>
      <c r="D229" s="9"/>
      <c r="E229" s="9"/>
      <c r="F229" s="9"/>
      <c r="G229" s="9"/>
      <c r="H229" s="9"/>
      <c r="I229" s="9"/>
      <c r="J229" s="20"/>
    </row>
    <row r="230">
      <c r="A230" s="12"/>
      <c r="B230" s="9"/>
      <c r="C230" s="9"/>
      <c r="D230" s="9"/>
      <c r="E230" s="9"/>
      <c r="F230" s="9"/>
      <c r="G230" s="9"/>
      <c r="H230" s="9"/>
      <c r="I230" s="9"/>
      <c r="J230" s="20"/>
    </row>
    <row r="231">
      <c r="A231" s="12"/>
      <c r="B231" s="9"/>
      <c r="C231" s="9"/>
      <c r="D231" s="9"/>
      <c r="E231" s="9"/>
      <c r="F231" s="9"/>
      <c r="G231" s="9"/>
      <c r="H231" s="9"/>
      <c r="I231" s="9"/>
      <c r="J231" s="20"/>
    </row>
    <row r="232">
      <c r="A232" s="12"/>
      <c r="B232" s="9"/>
      <c r="C232" s="9"/>
      <c r="D232" s="9"/>
      <c r="E232" s="9"/>
      <c r="F232" s="9"/>
      <c r="G232" s="9"/>
      <c r="H232" s="9"/>
      <c r="I232" s="9"/>
      <c r="J232" s="20"/>
    </row>
    <row r="233">
      <c r="A233" s="12"/>
      <c r="B233" s="9"/>
      <c r="C233" s="9"/>
      <c r="D233" s="9"/>
      <c r="E233" s="9"/>
      <c r="F233" s="9"/>
      <c r="G233" s="9"/>
      <c r="H233" s="9"/>
      <c r="I233" s="9"/>
      <c r="J233" s="20"/>
    </row>
    <row r="234">
      <c r="A234" s="12"/>
      <c r="B234" s="9"/>
      <c r="C234" s="9"/>
      <c r="D234" s="9"/>
      <c r="E234" s="9"/>
      <c r="F234" s="9"/>
      <c r="G234" s="9"/>
      <c r="H234" s="9"/>
      <c r="I234" s="9"/>
      <c r="J234" s="20"/>
    </row>
    <row r="235">
      <c r="A235" s="12"/>
      <c r="B235" s="9"/>
      <c r="C235" s="9"/>
      <c r="D235" s="9"/>
      <c r="E235" s="9"/>
      <c r="F235" s="9"/>
      <c r="G235" s="9"/>
      <c r="H235" s="9"/>
      <c r="I235" s="9"/>
      <c r="J235" s="20"/>
    </row>
    <row r="236">
      <c r="A236" s="12"/>
      <c r="B236" s="9"/>
      <c r="C236" s="9"/>
      <c r="D236" s="9"/>
      <c r="E236" s="9"/>
      <c r="F236" s="9"/>
      <c r="G236" s="9"/>
      <c r="H236" s="9"/>
      <c r="I236" s="9"/>
      <c r="J236" s="20"/>
    </row>
    <row r="237">
      <c r="A237" s="12"/>
      <c r="B237" s="9"/>
      <c r="C237" s="9"/>
      <c r="D237" s="9"/>
      <c r="E237" s="9"/>
      <c r="F237" s="9"/>
      <c r="G237" s="9"/>
      <c r="H237" s="9"/>
      <c r="I237" s="9"/>
      <c r="J237" s="20"/>
    </row>
    <row r="238">
      <c r="A238" s="12"/>
      <c r="B238" s="9"/>
      <c r="C238" s="9"/>
      <c r="D238" s="9"/>
      <c r="E238" s="9"/>
      <c r="F238" s="9"/>
      <c r="G238" s="9"/>
      <c r="H238" s="9"/>
      <c r="I238" s="9"/>
      <c r="J238" s="20"/>
    </row>
    <row r="239">
      <c r="A239" s="12"/>
      <c r="B239" s="9"/>
      <c r="C239" s="9"/>
      <c r="D239" s="9"/>
      <c r="E239" s="9"/>
      <c r="F239" s="9"/>
      <c r="G239" s="9"/>
      <c r="H239" s="9"/>
      <c r="I239" s="9"/>
      <c r="J239" s="20"/>
    </row>
    <row r="240">
      <c r="A240" s="12"/>
      <c r="B240" s="9"/>
      <c r="C240" s="9"/>
      <c r="D240" s="9"/>
      <c r="E240" s="9"/>
      <c r="F240" s="9"/>
      <c r="G240" s="9"/>
      <c r="H240" s="9"/>
      <c r="I240" s="9"/>
      <c r="J240" s="20"/>
    </row>
    <row r="241">
      <c r="A241" s="12"/>
      <c r="B241" s="9"/>
      <c r="C241" s="9"/>
      <c r="D241" s="9"/>
      <c r="E241" s="9"/>
      <c r="F241" s="9"/>
      <c r="G241" s="9"/>
      <c r="H241" s="9"/>
      <c r="I241" s="9"/>
      <c r="J241" s="20"/>
    </row>
    <row r="242">
      <c r="A242" s="12"/>
      <c r="B242" s="9"/>
      <c r="C242" s="9"/>
      <c r="D242" s="9"/>
      <c r="E242" s="9"/>
      <c r="F242" s="9"/>
      <c r="G242" s="9"/>
      <c r="H242" s="9"/>
      <c r="I242" s="9"/>
      <c r="J242" s="20"/>
    </row>
    <row r="243">
      <c r="A243" s="12"/>
      <c r="B243" s="9"/>
      <c r="C243" s="9"/>
      <c r="D243" s="9"/>
      <c r="E243" s="9"/>
      <c r="F243" s="9"/>
      <c r="G243" s="9"/>
      <c r="H243" s="9"/>
      <c r="I243" s="9"/>
      <c r="J243" s="20"/>
    </row>
    <row r="244">
      <c r="A244" s="12"/>
      <c r="B244" s="9"/>
      <c r="C244" s="9"/>
      <c r="D244" s="9"/>
      <c r="E244" s="9"/>
      <c r="F244" s="9"/>
      <c r="G244" s="9"/>
      <c r="H244" s="9"/>
      <c r="I244" s="9"/>
      <c r="J244" s="20"/>
    </row>
    <row r="245">
      <c r="A245" s="12"/>
      <c r="B245" s="9"/>
      <c r="C245" s="9"/>
      <c r="D245" s="9"/>
      <c r="E245" s="9"/>
      <c r="F245" s="9"/>
      <c r="G245" s="9"/>
      <c r="H245" s="9"/>
      <c r="I245" s="9"/>
      <c r="J245" s="20"/>
    </row>
    <row r="246">
      <c r="A246" s="12"/>
      <c r="B246" s="9"/>
      <c r="C246" s="9"/>
      <c r="D246" s="9"/>
      <c r="E246" s="9"/>
      <c r="F246" s="9"/>
      <c r="G246" s="9"/>
      <c r="H246" s="9"/>
      <c r="I246" s="9"/>
      <c r="J246" s="20"/>
    </row>
    <row r="247">
      <c r="A247" s="12"/>
      <c r="B247" s="9"/>
      <c r="C247" s="9"/>
      <c r="D247" s="9"/>
      <c r="E247" s="9"/>
      <c r="F247" s="9"/>
      <c r="G247" s="9"/>
      <c r="H247" s="9"/>
      <c r="I247" s="9"/>
      <c r="J247" s="20"/>
    </row>
    <row r="248">
      <c r="B248" s="73"/>
      <c r="C248" s="73"/>
      <c r="D248" s="73"/>
      <c r="E248" s="73"/>
      <c r="F248" s="73"/>
      <c r="G248" s="73"/>
      <c r="H248" s="73"/>
      <c r="I248" s="73"/>
    </row>
    <row r="249">
      <c r="B249" s="73"/>
      <c r="C249" s="73"/>
      <c r="D249" s="73"/>
      <c r="E249" s="73"/>
      <c r="F249" s="73"/>
      <c r="G249" s="73"/>
      <c r="H249" s="73"/>
      <c r="I249" s="73"/>
    </row>
    <row r="250">
      <c r="B250" s="73"/>
      <c r="C250" s="73"/>
      <c r="D250" s="73"/>
      <c r="E250" s="73"/>
      <c r="F250" s="73"/>
      <c r="G250" s="73"/>
      <c r="H250" s="73"/>
      <c r="I250" s="73"/>
    </row>
    <row r="251">
      <c r="B251" s="73"/>
      <c r="C251" s="73"/>
      <c r="D251" s="73"/>
      <c r="E251" s="73"/>
      <c r="F251" s="73"/>
      <c r="G251" s="73"/>
      <c r="H251" s="73"/>
      <c r="I251" s="73"/>
    </row>
    <row r="252">
      <c r="B252" s="73"/>
      <c r="C252" s="73"/>
      <c r="D252" s="73"/>
      <c r="E252" s="73"/>
      <c r="F252" s="73"/>
      <c r="G252" s="73"/>
      <c r="H252" s="73"/>
      <c r="I252" s="73"/>
    </row>
    <row r="253">
      <c r="B253" s="73"/>
      <c r="C253" s="73"/>
      <c r="D253" s="73"/>
      <c r="E253" s="73"/>
      <c r="F253" s="73"/>
      <c r="G253" s="73"/>
      <c r="H253" s="73"/>
      <c r="I253" s="73"/>
    </row>
    <row r="254">
      <c r="B254" s="73"/>
      <c r="C254" s="73"/>
      <c r="D254" s="73"/>
      <c r="E254" s="73"/>
      <c r="F254" s="73"/>
      <c r="G254" s="73"/>
      <c r="H254" s="73"/>
      <c r="I254" s="73"/>
    </row>
    <row r="255">
      <c r="B255" s="73"/>
      <c r="C255" s="73"/>
      <c r="D255" s="73"/>
      <c r="E255" s="73"/>
      <c r="F255" s="73"/>
      <c r="G255" s="73"/>
      <c r="H255" s="73"/>
      <c r="I255" s="73"/>
    </row>
    <row r="256">
      <c r="B256" s="73"/>
      <c r="C256" s="73"/>
      <c r="D256" s="73"/>
      <c r="E256" s="73"/>
      <c r="F256" s="73"/>
      <c r="G256" s="73"/>
      <c r="H256" s="73"/>
      <c r="I256" s="73"/>
    </row>
    <row r="257">
      <c r="B257" s="73"/>
      <c r="C257" s="73"/>
      <c r="D257" s="73"/>
      <c r="E257" s="73"/>
      <c r="F257" s="73"/>
      <c r="G257" s="73"/>
      <c r="H257" s="73"/>
      <c r="I257" s="73"/>
    </row>
    <row r="258">
      <c r="B258" s="73"/>
      <c r="C258" s="73"/>
      <c r="D258" s="73"/>
      <c r="E258" s="73"/>
      <c r="F258" s="73"/>
      <c r="G258" s="73"/>
      <c r="H258" s="73"/>
      <c r="I258" s="73"/>
    </row>
    <row r="259">
      <c r="B259" s="73"/>
      <c r="C259" s="73"/>
      <c r="D259" s="73"/>
      <c r="E259" s="73"/>
      <c r="F259" s="73"/>
      <c r="G259" s="73"/>
      <c r="H259" s="73"/>
      <c r="I259" s="73"/>
    </row>
    <row r="260">
      <c r="B260" s="73"/>
      <c r="C260" s="73"/>
      <c r="D260" s="73"/>
      <c r="E260" s="73"/>
      <c r="F260" s="73"/>
      <c r="G260" s="73"/>
      <c r="H260" s="73"/>
      <c r="I260" s="73"/>
    </row>
    <row r="261">
      <c r="B261" s="73"/>
      <c r="C261" s="73"/>
      <c r="D261" s="73"/>
      <c r="E261" s="73"/>
      <c r="F261" s="73"/>
      <c r="G261" s="73"/>
      <c r="H261" s="73"/>
      <c r="I261" s="73"/>
    </row>
    <row r="262">
      <c r="B262" s="73"/>
      <c r="C262" s="73"/>
      <c r="D262" s="73"/>
      <c r="E262" s="73"/>
      <c r="F262" s="73"/>
      <c r="G262" s="73"/>
      <c r="H262" s="73"/>
      <c r="I262" s="73"/>
    </row>
    <row r="263">
      <c r="B263" s="73"/>
      <c r="C263" s="73"/>
      <c r="D263" s="73"/>
      <c r="E263" s="73"/>
      <c r="F263" s="73"/>
      <c r="G263" s="73"/>
      <c r="H263" s="73"/>
      <c r="I263" s="73"/>
    </row>
    <row r="264">
      <c r="B264" s="73"/>
      <c r="C264" s="73"/>
      <c r="D264" s="73"/>
      <c r="E264" s="73"/>
      <c r="F264" s="73"/>
      <c r="G264" s="73"/>
      <c r="H264" s="73"/>
      <c r="I264" s="73"/>
    </row>
    <row r="265">
      <c r="B265" s="73"/>
      <c r="C265" s="73"/>
      <c r="D265" s="73"/>
      <c r="E265" s="73"/>
      <c r="F265" s="73"/>
      <c r="G265" s="73"/>
      <c r="H265" s="73"/>
      <c r="I265" s="73"/>
    </row>
    <row r="266">
      <c r="B266" s="73"/>
      <c r="C266" s="73"/>
      <c r="D266" s="73"/>
      <c r="E266" s="73"/>
      <c r="F266" s="73"/>
      <c r="G266" s="73"/>
      <c r="H266" s="73"/>
      <c r="I266" s="73"/>
    </row>
    <row r="267">
      <c r="B267" s="73"/>
      <c r="C267" s="73"/>
      <c r="D267" s="73"/>
      <c r="E267" s="73"/>
      <c r="F267" s="73"/>
      <c r="G267" s="73"/>
      <c r="H267" s="73"/>
      <c r="I267" s="73"/>
    </row>
    <row r="268">
      <c r="B268" s="73"/>
      <c r="C268" s="73"/>
      <c r="D268" s="73"/>
      <c r="E268" s="73"/>
      <c r="F268" s="73"/>
      <c r="G268" s="73"/>
      <c r="H268" s="73"/>
      <c r="I268" s="73"/>
    </row>
  </sheetData>
  <dataValidations>
    <dataValidation type="list" allowBlank="1" showErrorMessage="1" sqref="A3:A7 A10:A15 A17:A22 A24:A38 A40:A45 A47:A48 A52:A55 A58:A65 A71:A87 A89:A94 A98:A99 A103:A109 A111:A113 A119:A121 A123:A132 A134:A135 A137:A143 A146:A147 A150:A156 A159:A161 A163:A165 A175:A180 A182 A184">
      <formula1>"Linternas ,Torniquetes,Termometro ,Estetoscopio ,Lanyard ,Gorros ,Pad de Practica ,Kit de sutura ,Otoscopio ,Video otoscopio,Rompe Ampollas ,Tensiometro,PortaDocumentos ,Tijeras Trauma ,Pines ,Cinta Kinestesica ,Jabon Intimo ,Medias Compresivas,Respuesto "&amp;"Littman ,Cinta Metrica ,Libreta ,Goniometro ,MaxiKoala,Martillo Reflejo,Accesorio Esteto ,Oximetro,Glucometro,Lancetas,Tiras Reactivas,Portacarnet,Kit ,Plicometro ,Libro ,Bandas Elasticas"</formula1>
    </dataValidation>
    <dataValidation type="list" allowBlank="1" showErrorMessage="1" sqref="A167 A170:A173">
      <formula1>"Doppler,Kit colas,Boligrafo ,Control ,Banda "</formula1>
    </dataValidation>
    <dataValidation type="list" allowBlank="1" showErrorMessage="1" sqref="J3 J10:J15 J17 J24:J37 J40:J45 J47:J48 J52:J55 J58:J66 J71:J87 J89:J94 J103:J109 J111:J113 J119:J121 J123:J132 J134:J135 J137:J142 J146:J147 J150:J156 J159 J163 J167 J170:J173 J175:J177 J182 J184 J186 J188 J190:J193">
      <formula1>"Disponible,No Disponible"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8.0"/>
    <col customWidth="1" min="3" max="3" width="15.25"/>
    <col customWidth="1" min="4" max="4" width="19.0"/>
    <col customWidth="1" min="5" max="5" width="16.25"/>
    <col customWidth="1" min="7" max="7" width="14.38"/>
    <col customWidth="1" min="8" max="8" width="21.75"/>
  </cols>
  <sheetData>
    <row r="1">
      <c r="A1" s="102" t="s">
        <v>318</v>
      </c>
      <c r="B1" s="102" t="s">
        <v>1</v>
      </c>
      <c r="C1" s="102" t="s">
        <v>327</v>
      </c>
      <c r="D1" s="102" t="s">
        <v>328</v>
      </c>
      <c r="E1" s="102" t="s">
        <v>6</v>
      </c>
      <c r="F1" s="102" t="s">
        <v>7</v>
      </c>
      <c r="G1" s="102" t="s">
        <v>329</v>
      </c>
      <c r="H1" s="4"/>
      <c r="I1" s="4"/>
    </row>
    <row r="2">
      <c r="A2" s="19" t="s">
        <v>330</v>
      </c>
      <c r="B2" s="19" t="s">
        <v>331</v>
      </c>
      <c r="C2" s="19">
        <v>101.0</v>
      </c>
      <c r="D2" s="103">
        <v>5.0</v>
      </c>
      <c r="E2" s="19">
        <v>5.0</v>
      </c>
      <c r="F2" s="15">
        <f t="shared" ref="F2:F16" si="1">PRODUCT(D2:E2)</f>
        <v>25</v>
      </c>
      <c r="G2" s="20" t="s">
        <v>127</v>
      </c>
      <c r="H2" s="4"/>
      <c r="I2" s="4"/>
    </row>
    <row r="3">
      <c r="A3" s="19" t="s">
        <v>332</v>
      </c>
      <c r="B3" s="19" t="s">
        <v>333</v>
      </c>
      <c r="C3" s="19">
        <v>101.0</v>
      </c>
      <c r="D3" s="103">
        <v>1.0</v>
      </c>
      <c r="E3" s="19">
        <v>7.0</v>
      </c>
      <c r="F3" s="15">
        <f t="shared" si="1"/>
        <v>7</v>
      </c>
      <c r="G3" s="20" t="s">
        <v>127</v>
      </c>
      <c r="H3" s="4"/>
      <c r="I3" s="4"/>
    </row>
    <row r="4">
      <c r="A4" s="19" t="s">
        <v>332</v>
      </c>
      <c r="B4" s="19" t="s">
        <v>320</v>
      </c>
      <c r="C4" s="19">
        <v>101.0</v>
      </c>
      <c r="D4" s="103">
        <v>1.0</v>
      </c>
      <c r="E4" s="19">
        <v>10.0</v>
      </c>
      <c r="F4" s="15">
        <f t="shared" si="1"/>
        <v>10</v>
      </c>
      <c r="G4" s="20" t="s">
        <v>127</v>
      </c>
      <c r="H4" s="4"/>
      <c r="I4" s="4"/>
    </row>
    <row r="5">
      <c r="A5" s="19" t="s">
        <v>334</v>
      </c>
      <c r="B5" s="19" t="s">
        <v>331</v>
      </c>
      <c r="C5" s="19">
        <v>102.0</v>
      </c>
      <c r="D5" s="103">
        <v>7.0</v>
      </c>
      <c r="E5" s="19">
        <v>5.0</v>
      </c>
      <c r="F5" s="15">
        <f t="shared" si="1"/>
        <v>35</v>
      </c>
      <c r="G5" s="20" t="s">
        <v>127</v>
      </c>
      <c r="H5" s="4"/>
      <c r="I5" s="4"/>
    </row>
    <row r="6">
      <c r="A6" s="25" t="s">
        <v>334</v>
      </c>
      <c r="B6" s="19" t="s">
        <v>333</v>
      </c>
      <c r="C6" s="19">
        <v>102.0</v>
      </c>
      <c r="D6" s="25">
        <v>0.0</v>
      </c>
      <c r="E6" s="19">
        <v>7.0</v>
      </c>
      <c r="F6" s="15">
        <f t="shared" si="1"/>
        <v>0</v>
      </c>
      <c r="G6" s="20" t="s">
        <v>129</v>
      </c>
      <c r="H6" s="4"/>
      <c r="I6" s="4"/>
    </row>
    <row r="7">
      <c r="A7" s="19" t="s">
        <v>335</v>
      </c>
      <c r="B7" s="19" t="s">
        <v>331</v>
      </c>
      <c r="C7" s="19">
        <v>103.0</v>
      </c>
      <c r="D7" s="103">
        <v>2.0</v>
      </c>
      <c r="E7" s="19">
        <v>5.0</v>
      </c>
      <c r="F7" s="15">
        <f t="shared" si="1"/>
        <v>10</v>
      </c>
      <c r="G7" s="20" t="s">
        <v>127</v>
      </c>
      <c r="H7" s="4"/>
      <c r="I7" s="4"/>
    </row>
    <row r="8">
      <c r="A8" s="19" t="s">
        <v>335</v>
      </c>
      <c r="B8" s="19" t="s">
        <v>333</v>
      </c>
      <c r="C8" s="19">
        <v>103.0</v>
      </c>
      <c r="D8" s="103">
        <v>2.0</v>
      </c>
      <c r="E8" s="19">
        <v>7.0</v>
      </c>
      <c r="F8" s="15">
        <f t="shared" si="1"/>
        <v>14</v>
      </c>
      <c r="G8" s="20" t="s">
        <v>127</v>
      </c>
      <c r="H8" s="4"/>
      <c r="I8" s="4"/>
    </row>
    <row r="9">
      <c r="A9" s="25" t="s">
        <v>336</v>
      </c>
      <c r="B9" s="19" t="s">
        <v>331</v>
      </c>
      <c r="C9" s="19">
        <v>104.0</v>
      </c>
      <c r="D9" s="25">
        <v>0.0</v>
      </c>
      <c r="E9" s="19">
        <v>5.0</v>
      </c>
      <c r="F9" s="15">
        <f t="shared" si="1"/>
        <v>0</v>
      </c>
      <c r="G9" s="20" t="s">
        <v>129</v>
      </c>
      <c r="H9" s="4"/>
      <c r="I9" s="4"/>
    </row>
    <row r="10">
      <c r="A10" s="19" t="s">
        <v>336</v>
      </c>
      <c r="B10" s="19" t="s">
        <v>333</v>
      </c>
      <c r="C10" s="19">
        <v>104.0</v>
      </c>
      <c r="D10" s="103">
        <v>4.0</v>
      </c>
      <c r="E10" s="104">
        <v>7.0</v>
      </c>
      <c r="F10" s="15">
        <f t="shared" si="1"/>
        <v>28</v>
      </c>
      <c r="G10" s="20" t="s">
        <v>127</v>
      </c>
    </row>
    <row r="11">
      <c r="A11" s="19" t="s">
        <v>336</v>
      </c>
      <c r="B11" s="19" t="s">
        <v>320</v>
      </c>
      <c r="C11" s="19">
        <v>104.0</v>
      </c>
      <c r="D11" s="103">
        <v>1.0</v>
      </c>
      <c r="E11" s="19">
        <v>10.0</v>
      </c>
      <c r="F11" s="15">
        <f t="shared" si="1"/>
        <v>10</v>
      </c>
      <c r="G11" s="20" t="s">
        <v>127</v>
      </c>
    </row>
    <row r="12">
      <c r="A12" s="19" t="s">
        <v>337</v>
      </c>
      <c r="B12" s="19" t="s">
        <v>331</v>
      </c>
      <c r="C12" s="19">
        <v>105.0</v>
      </c>
      <c r="D12" s="103">
        <v>5.0</v>
      </c>
      <c r="E12" s="19">
        <v>5.0</v>
      </c>
      <c r="F12" s="15">
        <f t="shared" si="1"/>
        <v>25</v>
      </c>
      <c r="G12" s="20" t="s">
        <v>127</v>
      </c>
    </row>
    <row r="13">
      <c r="A13" s="19" t="s">
        <v>337</v>
      </c>
      <c r="B13" s="19" t="s">
        <v>333</v>
      </c>
      <c r="C13" s="19">
        <v>105.0</v>
      </c>
      <c r="D13" s="103">
        <v>6.0</v>
      </c>
      <c r="E13" s="19">
        <v>7.0</v>
      </c>
      <c r="F13" s="15">
        <f t="shared" si="1"/>
        <v>42</v>
      </c>
      <c r="G13" s="20" t="s">
        <v>127</v>
      </c>
    </row>
    <row r="14">
      <c r="A14" s="19" t="s">
        <v>338</v>
      </c>
      <c r="B14" s="19" t="s">
        <v>331</v>
      </c>
      <c r="C14" s="19">
        <v>106.0</v>
      </c>
      <c r="D14" s="103">
        <v>2.0</v>
      </c>
      <c r="E14" s="19">
        <v>5.0</v>
      </c>
      <c r="F14" s="15">
        <f t="shared" si="1"/>
        <v>10</v>
      </c>
      <c r="G14" s="20" t="s">
        <v>127</v>
      </c>
    </row>
    <row r="15">
      <c r="A15" s="19" t="s">
        <v>338</v>
      </c>
      <c r="B15" s="19" t="s">
        <v>333</v>
      </c>
      <c r="C15" s="19">
        <v>106.0</v>
      </c>
      <c r="D15" s="103">
        <v>6.0</v>
      </c>
      <c r="E15" s="19">
        <v>7.0</v>
      </c>
      <c r="F15" s="15">
        <f t="shared" si="1"/>
        <v>42</v>
      </c>
      <c r="G15" s="20" t="s">
        <v>127</v>
      </c>
    </row>
    <row r="16">
      <c r="A16" s="19" t="s">
        <v>338</v>
      </c>
      <c r="B16" s="19" t="s">
        <v>320</v>
      </c>
      <c r="C16" s="19">
        <v>106.0</v>
      </c>
      <c r="D16" s="103">
        <v>1.0</v>
      </c>
      <c r="E16" s="19">
        <v>10.0</v>
      </c>
      <c r="F16" s="15">
        <f t="shared" si="1"/>
        <v>10</v>
      </c>
      <c r="G16" s="20" t="s">
        <v>127</v>
      </c>
    </row>
    <row r="17">
      <c r="A17" s="19" t="s">
        <v>339</v>
      </c>
      <c r="B17" s="19" t="s">
        <v>331</v>
      </c>
      <c r="C17" s="19">
        <v>107.0</v>
      </c>
      <c r="D17" s="103">
        <v>1.0</v>
      </c>
      <c r="E17" s="19"/>
      <c r="F17" s="15"/>
      <c r="G17" s="20"/>
    </row>
    <row r="18">
      <c r="A18" s="19" t="s">
        <v>339</v>
      </c>
      <c r="B18" s="19" t="s">
        <v>333</v>
      </c>
      <c r="C18" s="19">
        <v>107.0</v>
      </c>
      <c r="D18" s="103">
        <v>4.0</v>
      </c>
      <c r="E18" s="19">
        <v>7.0</v>
      </c>
      <c r="F18" s="15">
        <f t="shared" ref="F18:F25" si="2">PRODUCT(D18:E18)</f>
        <v>28</v>
      </c>
      <c r="G18" s="20" t="s">
        <v>127</v>
      </c>
    </row>
    <row r="19">
      <c r="A19" s="19" t="s">
        <v>339</v>
      </c>
      <c r="B19" s="19" t="s">
        <v>320</v>
      </c>
      <c r="C19" s="19">
        <v>107.0</v>
      </c>
      <c r="D19" s="103">
        <v>3.0</v>
      </c>
      <c r="E19" s="19">
        <v>10.0</v>
      </c>
      <c r="F19" s="15">
        <f t="shared" si="2"/>
        <v>30</v>
      </c>
      <c r="G19" s="20" t="s">
        <v>127</v>
      </c>
      <c r="J19" s="105"/>
    </row>
    <row r="20">
      <c r="A20" s="25" t="s">
        <v>340</v>
      </c>
      <c r="B20" s="19" t="s">
        <v>331</v>
      </c>
      <c r="C20" s="19">
        <v>108.0</v>
      </c>
      <c r="D20" s="25">
        <v>0.0</v>
      </c>
      <c r="E20" s="19">
        <v>5.0</v>
      </c>
      <c r="F20" s="15">
        <f t="shared" si="2"/>
        <v>0</v>
      </c>
      <c r="G20" s="20" t="s">
        <v>127</v>
      </c>
      <c r="J20" s="105"/>
    </row>
    <row r="21">
      <c r="A21" s="19" t="s">
        <v>340</v>
      </c>
      <c r="B21" s="19" t="s">
        <v>333</v>
      </c>
      <c r="C21" s="19">
        <v>108.0</v>
      </c>
      <c r="D21" s="103">
        <v>2.0</v>
      </c>
      <c r="E21" s="19">
        <v>7.0</v>
      </c>
      <c r="F21" s="15">
        <f t="shared" si="2"/>
        <v>14</v>
      </c>
      <c r="G21" s="20" t="s">
        <v>127</v>
      </c>
    </row>
    <row r="22">
      <c r="A22" s="19" t="s">
        <v>341</v>
      </c>
      <c r="B22" s="19" t="s">
        <v>331</v>
      </c>
      <c r="C22" s="19">
        <v>109.0</v>
      </c>
      <c r="D22" s="103">
        <v>1.0</v>
      </c>
      <c r="E22" s="19">
        <v>5.0</v>
      </c>
      <c r="F22" s="15">
        <f t="shared" si="2"/>
        <v>5</v>
      </c>
      <c r="G22" s="20" t="s">
        <v>127</v>
      </c>
    </row>
    <row r="23">
      <c r="A23" s="59" t="s">
        <v>341</v>
      </c>
      <c r="B23" s="19" t="s">
        <v>333</v>
      </c>
      <c r="C23" s="19">
        <v>109.0</v>
      </c>
      <c r="D23" s="59">
        <v>0.0</v>
      </c>
      <c r="E23" s="19">
        <v>7.0</v>
      </c>
      <c r="F23" s="15">
        <f t="shared" si="2"/>
        <v>0</v>
      </c>
      <c r="G23" s="20" t="s">
        <v>127</v>
      </c>
    </row>
    <row r="24">
      <c r="A24" s="19" t="s">
        <v>342</v>
      </c>
      <c r="B24" s="19" t="s">
        <v>331</v>
      </c>
      <c r="C24" s="19">
        <v>110.0</v>
      </c>
      <c r="D24" s="103">
        <v>1.0</v>
      </c>
      <c r="E24" s="19">
        <v>5.0</v>
      </c>
      <c r="F24" s="15">
        <f t="shared" si="2"/>
        <v>5</v>
      </c>
      <c r="G24" s="20" t="s">
        <v>127</v>
      </c>
      <c r="H24" s="69" t="s">
        <v>343</v>
      </c>
    </row>
    <row r="25">
      <c r="A25" s="19" t="s">
        <v>342</v>
      </c>
      <c r="B25" s="19" t="s">
        <v>333</v>
      </c>
      <c r="C25" s="19">
        <v>110.0</v>
      </c>
      <c r="D25" s="103">
        <v>3.0</v>
      </c>
      <c r="E25" s="19">
        <v>7.0</v>
      </c>
      <c r="F25" s="15">
        <f t="shared" si="2"/>
        <v>21</v>
      </c>
      <c r="G25" s="20" t="s">
        <v>127</v>
      </c>
    </row>
    <row r="26">
      <c r="A26" s="19" t="s">
        <v>342</v>
      </c>
      <c r="B26" s="19" t="s">
        <v>320</v>
      </c>
      <c r="C26" s="19">
        <v>110.0</v>
      </c>
      <c r="D26" s="103">
        <v>1.0</v>
      </c>
      <c r="E26" s="19"/>
      <c r="F26" s="15"/>
      <c r="G26" s="20"/>
    </row>
    <row r="27">
      <c r="A27" s="19" t="s">
        <v>344</v>
      </c>
      <c r="B27" s="19" t="s">
        <v>331</v>
      </c>
      <c r="C27" s="19">
        <v>111.0</v>
      </c>
      <c r="D27" s="103">
        <v>10.0</v>
      </c>
      <c r="E27" s="19">
        <v>5.0</v>
      </c>
      <c r="F27" s="15">
        <f t="shared" ref="F27:F107" si="3">PRODUCT(D27:E27)</f>
        <v>50</v>
      </c>
      <c r="G27" s="20" t="s">
        <v>127</v>
      </c>
    </row>
    <row r="28">
      <c r="A28" s="19" t="s">
        <v>344</v>
      </c>
      <c r="B28" s="19" t="s">
        <v>333</v>
      </c>
      <c r="C28" s="19">
        <v>111.0</v>
      </c>
      <c r="D28" s="103">
        <v>1.0</v>
      </c>
      <c r="E28" s="19">
        <v>7.0</v>
      </c>
      <c r="F28" s="15">
        <f t="shared" si="3"/>
        <v>7</v>
      </c>
      <c r="G28" s="20" t="s">
        <v>127</v>
      </c>
    </row>
    <row r="29">
      <c r="A29" s="19" t="s">
        <v>344</v>
      </c>
      <c r="B29" s="19" t="s">
        <v>320</v>
      </c>
      <c r="C29" s="19">
        <v>111.0</v>
      </c>
      <c r="D29" s="103">
        <v>1.0</v>
      </c>
      <c r="E29" s="19">
        <v>10.0</v>
      </c>
      <c r="F29" s="15">
        <f t="shared" si="3"/>
        <v>10</v>
      </c>
      <c r="G29" s="20" t="s">
        <v>127</v>
      </c>
    </row>
    <row r="30">
      <c r="A30" s="59" t="s">
        <v>345</v>
      </c>
      <c r="B30" s="19" t="s">
        <v>331</v>
      </c>
      <c r="C30" s="19">
        <v>112.0</v>
      </c>
      <c r="D30" s="59">
        <v>0.0</v>
      </c>
      <c r="E30" s="19">
        <v>5.0</v>
      </c>
      <c r="F30" s="15">
        <f t="shared" si="3"/>
        <v>0</v>
      </c>
      <c r="G30" s="20" t="s">
        <v>127</v>
      </c>
    </row>
    <row r="31">
      <c r="A31" s="59" t="s">
        <v>345</v>
      </c>
      <c r="B31" s="19" t="s">
        <v>320</v>
      </c>
      <c r="C31" s="19">
        <v>112.0</v>
      </c>
      <c r="D31" s="59">
        <v>0.0</v>
      </c>
      <c r="E31" s="19">
        <v>10.0</v>
      </c>
      <c r="F31" s="15">
        <f t="shared" si="3"/>
        <v>0</v>
      </c>
      <c r="G31" s="20" t="s">
        <v>127</v>
      </c>
    </row>
    <row r="32">
      <c r="A32" s="19" t="s">
        <v>346</v>
      </c>
      <c r="B32" s="19" t="s">
        <v>331</v>
      </c>
      <c r="C32" s="19">
        <v>113.0</v>
      </c>
      <c r="D32" s="103">
        <v>10.0</v>
      </c>
      <c r="E32" s="19">
        <v>5.0</v>
      </c>
      <c r="F32" s="15">
        <f t="shared" si="3"/>
        <v>50</v>
      </c>
      <c r="G32" s="20" t="s">
        <v>127</v>
      </c>
    </row>
    <row r="33">
      <c r="A33" s="19" t="s">
        <v>347</v>
      </c>
      <c r="B33" s="19" t="s">
        <v>331</v>
      </c>
      <c r="C33" s="19">
        <v>114.0</v>
      </c>
      <c r="D33" s="25">
        <v>0.0</v>
      </c>
      <c r="E33" s="19">
        <v>5.0</v>
      </c>
      <c r="F33" s="15">
        <f t="shared" si="3"/>
        <v>0</v>
      </c>
      <c r="G33" s="20" t="s">
        <v>127</v>
      </c>
    </row>
    <row r="34">
      <c r="A34" s="19" t="s">
        <v>347</v>
      </c>
      <c r="B34" s="19" t="s">
        <v>333</v>
      </c>
      <c r="C34" s="19">
        <v>114.0</v>
      </c>
      <c r="D34" s="103">
        <v>7.0</v>
      </c>
      <c r="E34" s="19">
        <v>7.0</v>
      </c>
      <c r="F34" s="15">
        <f t="shared" si="3"/>
        <v>49</v>
      </c>
      <c r="G34" s="20" t="s">
        <v>127</v>
      </c>
    </row>
    <row r="35">
      <c r="A35" s="19" t="s">
        <v>347</v>
      </c>
      <c r="B35" s="19" t="s">
        <v>320</v>
      </c>
      <c r="C35" s="19">
        <v>114.0</v>
      </c>
      <c r="D35" s="103">
        <v>3.0</v>
      </c>
      <c r="E35" s="19">
        <v>10.0</v>
      </c>
      <c r="F35" s="15">
        <f t="shared" si="3"/>
        <v>30</v>
      </c>
      <c r="G35" s="20" t="s">
        <v>127</v>
      </c>
    </row>
    <row r="36">
      <c r="A36" s="19" t="s">
        <v>348</v>
      </c>
      <c r="B36" s="19" t="s">
        <v>331</v>
      </c>
      <c r="C36" s="19">
        <v>115.0</v>
      </c>
      <c r="D36" s="103">
        <v>4.0</v>
      </c>
      <c r="E36" s="19">
        <v>5.0</v>
      </c>
      <c r="F36" s="15">
        <f t="shared" si="3"/>
        <v>20</v>
      </c>
      <c r="G36" s="20" t="s">
        <v>127</v>
      </c>
    </row>
    <row r="37">
      <c r="A37" s="19" t="s">
        <v>348</v>
      </c>
      <c r="B37" s="19" t="s">
        <v>333</v>
      </c>
      <c r="C37" s="19">
        <v>115.0</v>
      </c>
      <c r="D37" s="103">
        <v>8.0</v>
      </c>
      <c r="E37" s="19">
        <v>7.0</v>
      </c>
      <c r="F37" s="15">
        <f t="shared" si="3"/>
        <v>56</v>
      </c>
      <c r="G37" s="20" t="s">
        <v>127</v>
      </c>
    </row>
    <row r="38">
      <c r="A38" s="19" t="s">
        <v>348</v>
      </c>
      <c r="B38" s="19" t="s">
        <v>320</v>
      </c>
      <c r="C38" s="19">
        <v>115.0</v>
      </c>
      <c r="D38" s="103">
        <v>3.0</v>
      </c>
      <c r="E38" s="19">
        <v>10.0</v>
      </c>
      <c r="F38" s="15">
        <f t="shared" si="3"/>
        <v>30</v>
      </c>
      <c r="G38" s="20" t="s">
        <v>127</v>
      </c>
    </row>
    <row r="39">
      <c r="A39" s="19" t="s">
        <v>349</v>
      </c>
      <c r="B39" s="19" t="s">
        <v>331</v>
      </c>
      <c r="C39" s="19">
        <v>116.0</v>
      </c>
      <c r="D39" s="103">
        <v>3.0</v>
      </c>
      <c r="E39" s="19">
        <v>5.0</v>
      </c>
      <c r="F39" s="15">
        <f t="shared" si="3"/>
        <v>15</v>
      </c>
      <c r="G39" s="20" t="s">
        <v>127</v>
      </c>
    </row>
    <row r="40">
      <c r="A40" s="19" t="s">
        <v>349</v>
      </c>
      <c r="B40" s="19" t="s">
        <v>333</v>
      </c>
      <c r="C40" s="19">
        <v>116.0</v>
      </c>
      <c r="D40" s="103">
        <v>8.0</v>
      </c>
      <c r="E40" s="19">
        <v>7.0</v>
      </c>
      <c r="F40" s="15">
        <f t="shared" si="3"/>
        <v>56</v>
      </c>
      <c r="G40" s="20" t="s">
        <v>127</v>
      </c>
    </row>
    <row r="41">
      <c r="A41" s="19" t="s">
        <v>349</v>
      </c>
      <c r="B41" s="19" t="s">
        <v>320</v>
      </c>
      <c r="C41" s="19">
        <v>116.0</v>
      </c>
      <c r="D41" s="103">
        <v>2.0</v>
      </c>
      <c r="E41" s="19">
        <v>10.0</v>
      </c>
      <c r="F41" s="15">
        <f t="shared" si="3"/>
        <v>20</v>
      </c>
      <c r="G41" s="20" t="s">
        <v>127</v>
      </c>
    </row>
    <row r="42">
      <c r="A42" s="25" t="s">
        <v>350</v>
      </c>
      <c r="B42" s="19" t="s">
        <v>333</v>
      </c>
      <c r="C42" s="19">
        <v>117.0</v>
      </c>
      <c r="D42" s="25">
        <v>0.0</v>
      </c>
      <c r="E42" s="19">
        <v>7.0</v>
      </c>
      <c r="F42" s="15">
        <f t="shared" si="3"/>
        <v>0</v>
      </c>
      <c r="G42" s="20" t="s">
        <v>129</v>
      </c>
    </row>
    <row r="43">
      <c r="A43" s="19" t="s">
        <v>351</v>
      </c>
      <c r="B43" s="19" t="s">
        <v>331</v>
      </c>
      <c r="C43" s="19">
        <v>118.0</v>
      </c>
      <c r="D43" s="103">
        <v>4.0</v>
      </c>
      <c r="E43" s="19">
        <v>5.0</v>
      </c>
      <c r="F43" s="15">
        <f t="shared" si="3"/>
        <v>20</v>
      </c>
      <c r="G43" s="20" t="s">
        <v>127</v>
      </c>
    </row>
    <row r="44">
      <c r="A44" s="19" t="s">
        <v>351</v>
      </c>
      <c r="B44" s="19" t="s">
        <v>333</v>
      </c>
      <c r="C44" s="19">
        <v>118.0</v>
      </c>
      <c r="D44" s="103">
        <v>2.0</v>
      </c>
      <c r="E44" s="19">
        <v>7.0</v>
      </c>
      <c r="F44" s="15">
        <f t="shared" si="3"/>
        <v>14</v>
      </c>
      <c r="G44" s="20" t="s">
        <v>127</v>
      </c>
    </row>
    <row r="45">
      <c r="A45" s="19" t="s">
        <v>352</v>
      </c>
      <c r="B45" s="19" t="s">
        <v>331</v>
      </c>
      <c r="C45" s="19">
        <v>119.0</v>
      </c>
      <c r="D45" s="103">
        <v>1.0</v>
      </c>
      <c r="E45" s="19">
        <v>5.0</v>
      </c>
      <c r="F45" s="15">
        <f t="shared" si="3"/>
        <v>5</v>
      </c>
      <c r="G45" s="20" t="s">
        <v>127</v>
      </c>
    </row>
    <row r="46">
      <c r="A46" s="19" t="s">
        <v>352</v>
      </c>
      <c r="B46" s="19" t="s">
        <v>333</v>
      </c>
      <c r="C46" s="19">
        <v>119.0</v>
      </c>
      <c r="D46" s="25">
        <v>0.0</v>
      </c>
      <c r="E46" s="19">
        <v>7.0</v>
      </c>
      <c r="F46" s="15">
        <f t="shared" si="3"/>
        <v>0</v>
      </c>
      <c r="G46" s="20" t="s">
        <v>129</v>
      </c>
    </row>
    <row r="47">
      <c r="A47" s="19" t="s">
        <v>197</v>
      </c>
      <c r="B47" s="19" t="s">
        <v>331</v>
      </c>
      <c r="C47" s="19">
        <v>120.0</v>
      </c>
      <c r="D47" s="103">
        <v>4.0</v>
      </c>
      <c r="E47" s="19">
        <v>5.0</v>
      </c>
      <c r="F47" s="15">
        <f t="shared" si="3"/>
        <v>20</v>
      </c>
      <c r="G47" s="20" t="s">
        <v>127</v>
      </c>
    </row>
    <row r="48">
      <c r="A48" s="19" t="s">
        <v>197</v>
      </c>
      <c r="B48" s="19" t="s">
        <v>333</v>
      </c>
      <c r="C48" s="19">
        <v>120.0</v>
      </c>
      <c r="D48" s="103">
        <v>2.0</v>
      </c>
      <c r="E48" s="19">
        <v>7.0</v>
      </c>
      <c r="F48" s="15">
        <f t="shared" si="3"/>
        <v>14</v>
      </c>
      <c r="G48" s="20" t="s">
        <v>127</v>
      </c>
    </row>
    <row r="49">
      <c r="A49" s="19" t="s">
        <v>197</v>
      </c>
      <c r="B49" s="19" t="s">
        <v>320</v>
      </c>
      <c r="C49" s="19">
        <v>120.0</v>
      </c>
      <c r="D49" s="103">
        <v>2.0</v>
      </c>
      <c r="E49" s="19">
        <v>10.0</v>
      </c>
      <c r="F49" s="15">
        <f t="shared" si="3"/>
        <v>20</v>
      </c>
      <c r="G49" s="20" t="s">
        <v>127</v>
      </c>
    </row>
    <row r="50">
      <c r="A50" s="19" t="s">
        <v>353</v>
      </c>
      <c r="B50" s="19" t="s">
        <v>331</v>
      </c>
      <c r="C50" s="19">
        <v>121.0</v>
      </c>
      <c r="D50" s="103">
        <v>1.0</v>
      </c>
      <c r="E50" s="19">
        <v>5.0</v>
      </c>
      <c r="F50" s="15">
        <f t="shared" si="3"/>
        <v>5</v>
      </c>
      <c r="G50" s="20" t="s">
        <v>127</v>
      </c>
    </row>
    <row r="51">
      <c r="A51" s="19" t="s">
        <v>353</v>
      </c>
      <c r="B51" s="19" t="s">
        <v>333</v>
      </c>
      <c r="C51" s="19">
        <v>121.0</v>
      </c>
      <c r="D51" s="103">
        <v>1.0</v>
      </c>
      <c r="E51" s="19">
        <v>7.0</v>
      </c>
      <c r="F51" s="15">
        <f t="shared" si="3"/>
        <v>7</v>
      </c>
      <c r="G51" s="20" t="s">
        <v>127</v>
      </c>
    </row>
    <row r="52">
      <c r="A52" s="19" t="s">
        <v>354</v>
      </c>
      <c r="B52" s="19" t="s">
        <v>331</v>
      </c>
      <c r="C52" s="19">
        <v>122.0</v>
      </c>
      <c r="D52" s="103">
        <v>1.0</v>
      </c>
      <c r="E52" s="19">
        <v>5.0</v>
      </c>
      <c r="F52" s="15">
        <f t="shared" si="3"/>
        <v>5</v>
      </c>
      <c r="G52" s="20" t="s">
        <v>127</v>
      </c>
    </row>
    <row r="53">
      <c r="A53" s="19" t="s">
        <v>354</v>
      </c>
      <c r="B53" s="19" t="s">
        <v>333</v>
      </c>
      <c r="C53" s="19">
        <v>122.0</v>
      </c>
      <c r="D53" s="25">
        <v>0.0</v>
      </c>
      <c r="E53" s="19">
        <v>7.0</v>
      </c>
      <c r="F53" s="15">
        <f t="shared" si="3"/>
        <v>0</v>
      </c>
      <c r="G53" s="20" t="s">
        <v>129</v>
      </c>
    </row>
    <row r="54">
      <c r="A54" s="19" t="s">
        <v>355</v>
      </c>
      <c r="B54" s="19" t="s">
        <v>331</v>
      </c>
      <c r="C54" s="19">
        <v>123.0</v>
      </c>
      <c r="D54" s="103">
        <v>1.0</v>
      </c>
      <c r="E54" s="19">
        <v>5.0</v>
      </c>
      <c r="F54" s="15">
        <f t="shared" si="3"/>
        <v>5</v>
      </c>
      <c r="G54" s="20" t="s">
        <v>127</v>
      </c>
    </row>
    <row r="55">
      <c r="A55" s="19" t="s">
        <v>355</v>
      </c>
      <c r="B55" s="19" t="s">
        <v>333</v>
      </c>
      <c r="C55" s="19">
        <v>123.0</v>
      </c>
      <c r="D55" s="103">
        <v>3.0</v>
      </c>
      <c r="E55" s="19">
        <v>7.0</v>
      </c>
      <c r="F55" s="15">
        <f t="shared" si="3"/>
        <v>21</v>
      </c>
      <c r="G55" s="20" t="s">
        <v>127</v>
      </c>
    </row>
    <row r="56">
      <c r="A56" s="19" t="s">
        <v>356</v>
      </c>
      <c r="B56" s="19" t="s">
        <v>331</v>
      </c>
      <c r="C56" s="19">
        <v>124.0</v>
      </c>
      <c r="D56" s="103">
        <v>1.0</v>
      </c>
      <c r="E56" s="19">
        <v>5.0</v>
      </c>
      <c r="F56" s="15">
        <f t="shared" si="3"/>
        <v>5</v>
      </c>
      <c r="G56" s="20" t="s">
        <v>127</v>
      </c>
    </row>
    <row r="57">
      <c r="A57" s="19" t="s">
        <v>356</v>
      </c>
      <c r="B57" s="19" t="s">
        <v>333</v>
      </c>
      <c r="C57" s="19">
        <v>124.0</v>
      </c>
      <c r="D57" s="103">
        <v>2.0</v>
      </c>
      <c r="E57" s="19">
        <v>7.0</v>
      </c>
      <c r="F57" s="15">
        <f t="shared" si="3"/>
        <v>14</v>
      </c>
      <c r="G57" s="20" t="s">
        <v>127</v>
      </c>
    </row>
    <row r="58">
      <c r="A58" s="19" t="s">
        <v>356</v>
      </c>
      <c r="B58" s="19" t="s">
        <v>320</v>
      </c>
      <c r="C58" s="19">
        <v>124.0</v>
      </c>
      <c r="D58" s="103">
        <v>2.0</v>
      </c>
      <c r="E58" s="19">
        <v>10.0</v>
      </c>
      <c r="F58" s="15">
        <f t="shared" si="3"/>
        <v>20</v>
      </c>
      <c r="G58" s="20" t="s">
        <v>127</v>
      </c>
    </row>
    <row r="59">
      <c r="A59" s="19" t="s">
        <v>357</v>
      </c>
      <c r="B59" s="19" t="s">
        <v>331</v>
      </c>
      <c r="C59" s="19">
        <v>125.0</v>
      </c>
      <c r="D59" s="103">
        <v>1.0</v>
      </c>
      <c r="E59" s="19">
        <v>5.0</v>
      </c>
      <c r="F59" s="15">
        <f t="shared" si="3"/>
        <v>5</v>
      </c>
      <c r="G59" s="20" t="s">
        <v>127</v>
      </c>
    </row>
    <row r="60">
      <c r="A60" s="19" t="s">
        <v>357</v>
      </c>
      <c r="B60" s="19" t="s">
        <v>333</v>
      </c>
      <c r="C60" s="19">
        <v>125.0</v>
      </c>
      <c r="D60" s="103">
        <v>1.0</v>
      </c>
      <c r="E60" s="19">
        <v>7.0</v>
      </c>
      <c r="F60" s="15">
        <f t="shared" si="3"/>
        <v>7</v>
      </c>
      <c r="G60" s="20" t="s">
        <v>127</v>
      </c>
    </row>
    <row r="61">
      <c r="A61" s="59" t="s">
        <v>358</v>
      </c>
      <c r="B61" s="19" t="s">
        <v>331</v>
      </c>
      <c r="C61" s="19">
        <v>126.0</v>
      </c>
      <c r="D61" s="59">
        <v>0.0</v>
      </c>
      <c r="E61" s="19">
        <v>5.0</v>
      </c>
      <c r="F61" s="15">
        <f t="shared" si="3"/>
        <v>0</v>
      </c>
      <c r="G61" s="20" t="s">
        <v>127</v>
      </c>
    </row>
    <row r="62">
      <c r="A62" s="19" t="s">
        <v>359</v>
      </c>
      <c r="B62" s="19" t="s">
        <v>333</v>
      </c>
      <c r="C62" s="19">
        <v>127.0</v>
      </c>
      <c r="D62" s="103">
        <v>3.0</v>
      </c>
      <c r="E62" s="19">
        <v>7.0</v>
      </c>
      <c r="F62" s="15">
        <f t="shared" si="3"/>
        <v>21</v>
      </c>
      <c r="G62" s="20" t="s">
        <v>127</v>
      </c>
    </row>
    <row r="63">
      <c r="A63" s="19" t="s">
        <v>359</v>
      </c>
      <c r="B63" s="19" t="s">
        <v>320</v>
      </c>
      <c r="C63" s="19">
        <v>127.0</v>
      </c>
      <c r="D63" s="103">
        <v>2.0</v>
      </c>
      <c r="E63" s="19">
        <v>10.0</v>
      </c>
      <c r="F63" s="15">
        <f t="shared" si="3"/>
        <v>20</v>
      </c>
      <c r="G63" s="20" t="s">
        <v>127</v>
      </c>
    </row>
    <row r="64">
      <c r="A64" s="25" t="s">
        <v>360</v>
      </c>
      <c r="B64" s="19" t="s">
        <v>333</v>
      </c>
      <c r="C64" s="19">
        <v>128.0</v>
      </c>
      <c r="D64" s="25">
        <v>0.0</v>
      </c>
      <c r="E64" s="19">
        <v>7.0</v>
      </c>
      <c r="F64" s="15">
        <f t="shared" si="3"/>
        <v>0</v>
      </c>
      <c r="G64" s="20" t="s">
        <v>129</v>
      </c>
    </row>
    <row r="65">
      <c r="A65" s="19" t="s">
        <v>361</v>
      </c>
      <c r="B65" s="19" t="s">
        <v>331</v>
      </c>
      <c r="C65" s="19">
        <v>129.0</v>
      </c>
      <c r="D65" s="103">
        <v>1.0</v>
      </c>
      <c r="E65" s="19">
        <v>5.0</v>
      </c>
      <c r="F65" s="15">
        <f t="shared" si="3"/>
        <v>5</v>
      </c>
      <c r="G65" s="20" t="s">
        <v>127</v>
      </c>
    </row>
    <row r="66">
      <c r="A66" s="19" t="s">
        <v>361</v>
      </c>
      <c r="B66" s="19" t="s">
        <v>333</v>
      </c>
      <c r="C66" s="19">
        <v>129.0</v>
      </c>
      <c r="D66" s="25">
        <v>0.0</v>
      </c>
      <c r="E66" s="19">
        <v>7.0</v>
      </c>
      <c r="F66" s="15">
        <f t="shared" si="3"/>
        <v>0</v>
      </c>
      <c r="G66" s="20" t="s">
        <v>129</v>
      </c>
    </row>
    <row r="67">
      <c r="A67" s="19" t="s">
        <v>362</v>
      </c>
      <c r="B67" s="19" t="s">
        <v>331</v>
      </c>
      <c r="C67" s="19">
        <v>130.0</v>
      </c>
      <c r="D67" s="25">
        <v>0.0</v>
      </c>
      <c r="E67" s="19">
        <v>5.0</v>
      </c>
      <c r="F67" s="15">
        <f t="shared" si="3"/>
        <v>0</v>
      </c>
      <c r="G67" s="20" t="s">
        <v>129</v>
      </c>
    </row>
    <row r="68">
      <c r="A68" s="19" t="s">
        <v>362</v>
      </c>
      <c r="B68" s="19" t="s">
        <v>333</v>
      </c>
      <c r="C68" s="19">
        <v>130.0</v>
      </c>
      <c r="D68" s="103">
        <v>2.0</v>
      </c>
      <c r="E68" s="19">
        <v>7.0</v>
      </c>
      <c r="F68" s="15">
        <f t="shared" si="3"/>
        <v>14</v>
      </c>
      <c r="G68" s="20" t="s">
        <v>127</v>
      </c>
    </row>
    <row r="69">
      <c r="A69" s="19" t="s">
        <v>362</v>
      </c>
      <c r="B69" s="19" t="s">
        <v>320</v>
      </c>
      <c r="C69" s="19">
        <v>130.0</v>
      </c>
      <c r="D69" s="103">
        <v>1.0</v>
      </c>
      <c r="E69" s="19">
        <v>10.0</v>
      </c>
      <c r="F69" s="15">
        <f t="shared" si="3"/>
        <v>10</v>
      </c>
      <c r="G69" s="20" t="s">
        <v>127</v>
      </c>
    </row>
    <row r="70">
      <c r="A70" s="19" t="s">
        <v>363</v>
      </c>
      <c r="B70" s="19" t="s">
        <v>331</v>
      </c>
      <c r="C70" s="19">
        <v>131.0</v>
      </c>
      <c r="D70" s="103">
        <v>2.0</v>
      </c>
      <c r="E70" s="19">
        <v>5.0</v>
      </c>
      <c r="F70" s="15">
        <f t="shared" si="3"/>
        <v>10</v>
      </c>
      <c r="G70" s="20" t="s">
        <v>127</v>
      </c>
    </row>
    <row r="71">
      <c r="A71" s="59" t="s">
        <v>363</v>
      </c>
      <c r="B71" s="19" t="s">
        <v>320</v>
      </c>
      <c r="C71" s="19">
        <v>131.0</v>
      </c>
      <c r="D71" s="59">
        <v>0.0</v>
      </c>
      <c r="E71" s="19">
        <v>10.0</v>
      </c>
      <c r="F71" s="15">
        <f t="shared" si="3"/>
        <v>0</v>
      </c>
      <c r="G71" s="20" t="s">
        <v>127</v>
      </c>
    </row>
    <row r="72">
      <c r="A72" s="19" t="s">
        <v>364</v>
      </c>
      <c r="B72" s="19" t="s">
        <v>331</v>
      </c>
      <c r="C72" s="19">
        <v>132.0</v>
      </c>
      <c r="D72" s="25">
        <v>0.0</v>
      </c>
      <c r="E72" s="19">
        <v>5.0</v>
      </c>
      <c r="F72" s="15">
        <f t="shared" si="3"/>
        <v>0</v>
      </c>
      <c r="G72" s="20" t="s">
        <v>129</v>
      </c>
    </row>
    <row r="73">
      <c r="A73" s="25" t="s">
        <v>365</v>
      </c>
      <c r="B73" s="19" t="s">
        <v>333</v>
      </c>
      <c r="C73" s="19">
        <v>133.0</v>
      </c>
      <c r="D73" s="25">
        <v>0.0</v>
      </c>
      <c r="E73" s="19">
        <v>7.0</v>
      </c>
      <c r="F73" s="15">
        <f t="shared" si="3"/>
        <v>0</v>
      </c>
      <c r="G73" s="20" t="s">
        <v>129</v>
      </c>
      <c r="H73" s="69" t="s">
        <v>366</v>
      </c>
    </row>
    <row r="74">
      <c r="A74" s="25" t="s">
        <v>367</v>
      </c>
      <c r="B74" s="19" t="s">
        <v>331</v>
      </c>
      <c r="C74" s="19">
        <v>134.0</v>
      </c>
      <c r="D74" s="25">
        <v>0.0</v>
      </c>
      <c r="E74" s="19">
        <v>5.0</v>
      </c>
      <c r="F74" s="15">
        <f t="shared" si="3"/>
        <v>0</v>
      </c>
      <c r="G74" s="20" t="s">
        <v>129</v>
      </c>
    </row>
    <row r="75">
      <c r="A75" s="25" t="s">
        <v>368</v>
      </c>
      <c r="B75" s="19" t="s">
        <v>333</v>
      </c>
      <c r="C75" s="19">
        <v>135.0</v>
      </c>
      <c r="D75" s="25">
        <v>0.0</v>
      </c>
      <c r="E75" s="19">
        <v>7.0</v>
      </c>
      <c r="F75" s="15">
        <f t="shared" si="3"/>
        <v>0</v>
      </c>
      <c r="G75" s="20" t="s">
        <v>129</v>
      </c>
    </row>
    <row r="76">
      <c r="A76" s="25" t="s">
        <v>369</v>
      </c>
      <c r="B76" s="19" t="s">
        <v>333</v>
      </c>
      <c r="C76" s="19">
        <v>137.0</v>
      </c>
      <c r="D76" s="25">
        <v>0.0</v>
      </c>
      <c r="E76" s="19">
        <v>7.0</v>
      </c>
      <c r="F76" s="15">
        <f t="shared" si="3"/>
        <v>0</v>
      </c>
      <c r="G76" s="20" t="s">
        <v>129</v>
      </c>
      <c r="H76" s="4"/>
    </row>
    <row r="77">
      <c r="A77" s="59" t="s">
        <v>369</v>
      </c>
      <c r="B77" s="19" t="s">
        <v>320</v>
      </c>
      <c r="C77" s="19">
        <v>137.0</v>
      </c>
      <c r="D77" s="103">
        <v>1.0</v>
      </c>
      <c r="E77" s="19">
        <v>10.0</v>
      </c>
      <c r="F77" s="15">
        <f t="shared" si="3"/>
        <v>10</v>
      </c>
      <c r="G77" s="20" t="s">
        <v>127</v>
      </c>
      <c r="H77" s="4"/>
    </row>
    <row r="78">
      <c r="A78" s="19" t="s">
        <v>370</v>
      </c>
      <c r="B78" s="19" t="s">
        <v>333</v>
      </c>
      <c r="C78" s="19">
        <v>138.0</v>
      </c>
      <c r="D78" s="103">
        <v>1.0</v>
      </c>
      <c r="E78" s="19">
        <v>7.0</v>
      </c>
      <c r="F78" s="15">
        <f t="shared" si="3"/>
        <v>7</v>
      </c>
      <c r="G78" s="20" t="s">
        <v>127</v>
      </c>
      <c r="H78" s="4"/>
    </row>
    <row r="79">
      <c r="A79" s="25" t="s">
        <v>371</v>
      </c>
      <c r="B79" s="19" t="s">
        <v>333</v>
      </c>
      <c r="C79" s="19">
        <v>139.0</v>
      </c>
      <c r="D79" s="25">
        <v>0.0</v>
      </c>
      <c r="E79" s="19">
        <v>7.0</v>
      </c>
      <c r="F79" s="15">
        <f t="shared" si="3"/>
        <v>0</v>
      </c>
      <c r="G79" s="20" t="s">
        <v>129</v>
      </c>
      <c r="H79" s="4"/>
    </row>
    <row r="80">
      <c r="A80" s="19" t="s">
        <v>371</v>
      </c>
      <c r="B80" s="19" t="s">
        <v>320</v>
      </c>
      <c r="C80" s="19">
        <v>139.0</v>
      </c>
      <c r="D80" s="25">
        <v>0.0</v>
      </c>
      <c r="E80" s="19">
        <v>10.0</v>
      </c>
      <c r="F80" s="15">
        <f t="shared" si="3"/>
        <v>0</v>
      </c>
      <c r="G80" s="20" t="s">
        <v>127</v>
      </c>
      <c r="H80" s="4"/>
    </row>
    <row r="81">
      <c r="A81" s="59" t="s">
        <v>372</v>
      </c>
      <c r="B81" s="19" t="s">
        <v>333</v>
      </c>
      <c r="C81" s="19">
        <v>140.0</v>
      </c>
      <c r="D81" s="59">
        <v>0.0</v>
      </c>
      <c r="E81" s="19">
        <v>7.0</v>
      </c>
      <c r="F81" s="15">
        <f t="shared" si="3"/>
        <v>0</v>
      </c>
      <c r="G81" s="20" t="s">
        <v>127</v>
      </c>
      <c r="H81" s="4"/>
    </row>
    <row r="82">
      <c r="A82" s="25" t="s">
        <v>373</v>
      </c>
      <c r="B82" s="19" t="s">
        <v>331</v>
      </c>
      <c r="C82" s="19">
        <v>141.0</v>
      </c>
      <c r="D82" s="25">
        <v>0.0</v>
      </c>
      <c r="E82" s="19">
        <v>5.0</v>
      </c>
      <c r="F82" s="15">
        <f t="shared" si="3"/>
        <v>0</v>
      </c>
      <c r="G82" s="20" t="s">
        <v>129</v>
      </c>
      <c r="H82" s="4"/>
    </row>
    <row r="83">
      <c r="A83" s="25" t="s">
        <v>373</v>
      </c>
      <c r="B83" s="19" t="s">
        <v>333</v>
      </c>
      <c r="C83" s="19">
        <v>141.0</v>
      </c>
      <c r="D83" s="25">
        <v>0.0</v>
      </c>
      <c r="E83" s="19">
        <v>7.0</v>
      </c>
      <c r="F83" s="15">
        <f t="shared" si="3"/>
        <v>0</v>
      </c>
      <c r="G83" s="20" t="s">
        <v>129</v>
      </c>
      <c r="H83" s="4"/>
    </row>
    <row r="84">
      <c r="A84" s="19" t="s">
        <v>374</v>
      </c>
      <c r="B84" s="19" t="s">
        <v>331</v>
      </c>
      <c r="C84" s="19">
        <v>142.0</v>
      </c>
      <c r="D84" s="25">
        <v>0.0</v>
      </c>
      <c r="E84" s="19">
        <v>5.0</v>
      </c>
      <c r="F84" s="15">
        <f t="shared" si="3"/>
        <v>0</v>
      </c>
      <c r="G84" s="20" t="s">
        <v>127</v>
      </c>
      <c r="H84" s="106" t="s">
        <v>375</v>
      </c>
    </row>
    <row r="85">
      <c r="A85" s="13" t="s">
        <v>374</v>
      </c>
      <c r="B85" s="19" t="s">
        <v>333</v>
      </c>
      <c r="C85" s="19">
        <v>142.0</v>
      </c>
      <c r="D85" s="25">
        <v>0.0</v>
      </c>
      <c r="E85" s="19">
        <v>7.0</v>
      </c>
      <c r="F85" s="15">
        <f t="shared" si="3"/>
        <v>0</v>
      </c>
      <c r="G85" s="20" t="s">
        <v>127</v>
      </c>
      <c r="H85" s="4"/>
    </row>
    <row r="86">
      <c r="A86" s="25" t="s">
        <v>376</v>
      </c>
      <c r="B86" s="19" t="s">
        <v>331</v>
      </c>
      <c r="C86" s="19">
        <v>143.0</v>
      </c>
      <c r="D86" s="25">
        <v>0.0</v>
      </c>
      <c r="E86" s="19">
        <v>5.0</v>
      </c>
      <c r="F86" s="15">
        <f t="shared" si="3"/>
        <v>0</v>
      </c>
      <c r="G86" s="20" t="s">
        <v>129</v>
      </c>
      <c r="H86" s="4"/>
    </row>
    <row r="87">
      <c r="A87" s="13" t="s">
        <v>376</v>
      </c>
      <c r="B87" s="19" t="s">
        <v>320</v>
      </c>
      <c r="C87" s="19">
        <v>143.0</v>
      </c>
      <c r="D87" s="25">
        <v>0.0</v>
      </c>
      <c r="E87" s="19">
        <v>10.0</v>
      </c>
      <c r="F87" s="15">
        <f t="shared" si="3"/>
        <v>0</v>
      </c>
      <c r="G87" s="20" t="s">
        <v>127</v>
      </c>
      <c r="H87" s="4"/>
    </row>
    <row r="88">
      <c r="A88" s="19" t="s">
        <v>377</v>
      </c>
      <c r="B88" s="19" t="s">
        <v>333</v>
      </c>
      <c r="C88" s="19">
        <v>144.0</v>
      </c>
      <c r="D88" s="25">
        <v>0.0</v>
      </c>
      <c r="E88" s="19">
        <v>7.0</v>
      </c>
      <c r="F88" s="15">
        <f t="shared" si="3"/>
        <v>0</v>
      </c>
      <c r="G88" s="20" t="s">
        <v>127</v>
      </c>
      <c r="H88" s="4"/>
    </row>
    <row r="89">
      <c r="A89" s="19" t="s">
        <v>377</v>
      </c>
      <c r="B89" s="19" t="s">
        <v>320</v>
      </c>
      <c r="C89" s="19">
        <v>144.0</v>
      </c>
      <c r="D89" s="25">
        <v>0.0</v>
      </c>
      <c r="E89" s="19">
        <v>10.0</v>
      </c>
      <c r="F89" s="15">
        <f t="shared" si="3"/>
        <v>0</v>
      </c>
      <c r="G89" s="20" t="s">
        <v>127</v>
      </c>
      <c r="H89" s="4"/>
    </row>
    <row r="90">
      <c r="A90" s="19" t="s">
        <v>378</v>
      </c>
      <c r="B90" s="19" t="s">
        <v>331</v>
      </c>
      <c r="C90" s="19">
        <v>145.0</v>
      </c>
      <c r="D90" s="103">
        <v>2.0</v>
      </c>
      <c r="E90" s="19">
        <v>5.0</v>
      </c>
      <c r="F90" s="15">
        <f t="shared" si="3"/>
        <v>10</v>
      </c>
      <c r="G90" s="20" t="s">
        <v>127</v>
      </c>
      <c r="H90" s="4"/>
    </row>
    <row r="91">
      <c r="A91" s="13" t="s">
        <v>378</v>
      </c>
      <c r="B91" s="19" t="s">
        <v>320</v>
      </c>
      <c r="C91" s="19">
        <v>145.0</v>
      </c>
      <c r="D91" s="103">
        <v>1.0</v>
      </c>
      <c r="E91" s="19">
        <v>10.0</v>
      </c>
      <c r="F91" s="15">
        <f t="shared" si="3"/>
        <v>10</v>
      </c>
      <c r="G91" s="20" t="s">
        <v>127</v>
      </c>
      <c r="H91" s="4"/>
    </row>
    <row r="92">
      <c r="A92" s="13" t="s">
        <v>379</v>
      </c>
      <c r="B92" s="19" t="s">
        <v>333</v>
      </c>
      <c r="C92" s="19">
        <v>146.0</v>
      </c>
      <c r="D92" s="25">
        <v>1.0</v>
      </c>
      <c r="E92" s="19">
        <v>5.0</v>
      </c>
      <c r="F92" s="15">
        <f t="shared" si="3"/>
        <v>5</v>
      </c>
      <c r="G92" s="20" t="s">
        <v>127</v>
      </c>
      <c r="H92" s="4"/>
    </row>
    <row r="93">
      <c r="A93" s="19" t="s">
        <v>380</v>
      </c>
      <c r="B93" s="19" t="s">
        <v>331</v>
      </c>
      <c r="C93" s="19">
        <v>147.0</v>
      </c>
      <c r="D93" s="25">
        <v>0.0</v>
      </c>
      <c r="E93" s="19">
        <v>5.0</v>
      </c>
      <c r="F93" s="15">
        <f t="shared" si="3"/>
        <v>0</v>
      </c>
      <c r="G93" s="20" t="s">
        <v>127</v>
      </c>
      <c r="H93" s="4"/>
    </row>
    <row r="94">
      <c r="A94" s="19" t="s">
        <v>380</v>
      </c>
      <c r="B94" s="19" t="s">
        <v>333</v>
      </c>
      <c r="C94" s="19">
        <v>147.0</v>
      </c>
      <c r="D94" s="103">
        <v>1.0</v>
      </c>
      <c r="E94" s="19">
        <v>7.0</v>
      </c>
      <c r="F94" s="15">
        <f t="shared" si="3"/>
        <v>7</v>
      </c>
      <c r="G94" s="20" t="s">
        <v>127</v>
      </c>
      <c r="H94" s="4"/>
    </row>
    <row r="95">
      <c r="A95" s="19" t="s">
        <v>381</v>
      </c>
      <c r="B95" s="19" t="s">
        <v>331</v>
      </c>
      <c r="C95" s="19">
        <v>148.0</v>
      </c>
      <c r="D95" s="103">
        <v>1.0</v>
      </c>
      <c r="E95" s="19">
        <v>5.0</v>
      </c>
      <c r="F95" s="15">
        <f t="shared" si="3"/>
        <v>5</v>
      </c>
      <c r="G95" s="20" t="s">
        <v>127</v>
      </c>
      <c r="H95" s="4"/>
    </row>
    <row r="96">
      <c r="A96" s="19" t="s">
        <v>381</v>
      </c>
      <c r="B96" s="19" t="s">
        <v>333</v>
      </c>
      <c r="C96" s="19">
        <v>148.0</v>
      </c>
      <c r="D96" s="103">
        <v>2.0</v>
      </c>
      <c r="E96" s="19">
        <v>7.0</v>
      </c>
      <c r="F96" s="15">
        <f t="shared" si="3"/>
        <v>14</v>
      </c>
      <c r="G96" s="20" t="s">
        <v>127</v>
      </c>
      <c r="H96" s="4"/>
    </row>
    <row r="97">
      <c r="A97" s="19" t="s">
        <v>381</v>
      </c>
      <c r="B97" s="19" t="s">
        <v>320</v>
      </c>
      <c r="C97" s="19">
        <v>148.0</v>
      </c>
      <c r="D97" s="103">
        <v>3.0</v>
      </c>
      <c r="E97" s="19">
        <v>10.0</v>
      </c>
      <c r="F97" s="15">
        <f t="shared" si="3"/>
        <v>30</v>
      </c>
      <c r="G97" s="20" t="s">
        <v>127</v>
      </c>
      <c r="H97" s="4"/>
    </row>
    <row r="98">
      <c r="A98" s="19" t="s">
        <v>382</v>
      </c>
      <c r="B98" s="19" t="s">
        <v>331</v>
      </c>
      <c r="C98" s="19">
        <v>149.0</v>
      </c>
      <c r="D98" s="103">
        <v>1.0</v>
      </c>
      <c r="E98" s="19">
        <v>5.0</v>
      </c>
      <c r="F98" s="15">
        <f t="shared" si="3"/>
        <v>5</v>
      </c>
      <c r="G98" s="20" t="s">
        <v>127</v>
      </c>
      <c r="H98" s="4"/>
    </row>
    <row r="99">
      <c r="A99" s="19" t="s">
        <v>382</v>
      </c>
      <c r="B99" s="19" t="s">
        <v>333</v>
      </c>
      <c r="C99" s="19">
        <v>149.0</v>
      </c>
      <c r="D99" s="103">
        <v>1.0</v>
      </c>
      <c r="E99" s="19">
        <v>7.0</v>
      </c>
      <c r="F99" s="15">
        <f t="shared" si="3"/>
        <v>7</v>
      </c>
      <c r="G99" s="20" t="s">
        <v>127</v>
      </c>
      <c r="H99" s="4"/>
    </row>
    <row r="100">
      <c r="A100" s="19" t="s">
        <v>382</v>
      </c>
      <c r="B100" s="19" t="s">
        <v>320</v>
      </c>
      <c r="C100" s="19">
        <v>149.0</v>
      </c>
      <c r="D100" s="103">
        <v>1.0</v>
      </c>
      <c r="E100" s="19">
        <v>10.0</v>
      </c>
      <c r="F100" s="15">
        <f t="shared" si="3"/>
        <v>10</v>
      </c>
      <c r="G100" s="20" t="s">
        <v>127</v>
      </c>
      <c r="H100" s="4"/>
    </row>
    <row r="101">
      <c r="A101" s="19" t="s">
        <v>383</v>
      </c>
      <c r="B101" s="19" t="s">
        <v>320</v>
      </c>
      <c r="C101" s="19">
        <v>150.0</v>
      </c>
      <c r="D101" s="103">
        <v>1.0</v>
      </c>
      <c r="E101" s="19">
        <v>10.0</v>
      </c>
      <c r="F101" s="15">
        <f t="shared" si="3"/>
        <v>10</v>
      </c>
      <c r="G101" s="20" t="s">
        <v>127</v>
      </c>
      <c r="H101" s="4"/>
    </row>
    <row r="102">
      <c r="A102" s="13" t="s">
        <v>384</v>
      </c>
      <c r="B102" s="19" t="s">
        <v>333</v>
      </c>
      <c r="C102" s="19">
        <v>151.0</v>
      </c>
      <c r="D102" s="103">
        <v>1.0</v>
      </c>
      <c r="E102" s="19">
        <v>7.0</v>
      </c>
      <c r="F102" s="15">
        <f t="shared" si="3"/>
        <v>7</v>
      </c>
      <c r="G102" s="20" t="s">
        <v>127</v>
      </c>
      <c r="H102" s="4"/>
    </row>
    <row r="103">
      <c r="A103" s="59" t="s">
        <v>385</v>
      </c>
      <c r="B103" s="19" t="s">
        <v>320</v>
      </c>
      <c r="C103" s="19">
        <v>152.0</v>
      </c>
      <c r="D103" s="59">
        <v>0.0</v>
      </c>
      <c r="E103" s="19">
        <v>7.0</v>
      </c>
      <c r="F103" s="15">
        <f t="shared" si="3"/>
        <v>0</v>
      </c>
      <c r="G103" s="20" t="s">
        <v>127</v>
      </c>
      <c r="H103" s="4"/>
    </row>
    <row r="104">
      <c r="A104" s="19" t="s">
        <v>17</v>
      </c>
      <c r="B104" s="19" t="s">
        <v>331</v>
      </c>
      <c r="C104" s="5"/>
      <c r="D104" s="19">
        <v>13.0</v>
      </c>
      <c r="E104" s="19">
        <v>5.0</v>
      </c>
      <c r="F104" s="15">
        <f t="shared" si="3"/>
        <v>65</v>
      </c>
      <c r="G104" s="20" t="s">
        <v>127</v>
      </c>
      <c r="H104" s="4"/>
    </row>
    <row r="105">
      <c r="A105" s="59" t="s">
        <v>17</v>
      </c>
      <c r="B105" s="19" t="s">
        <v>333</v>
      </c>
      <c r="C105" s="39"/>
      <c r="D105" s="59">
        <v>0.0</v>
      </c>
      <c r="E105" s="19">
        <v>5.0</v>
      </c>
      <c r="F105" s="15">
        <f t="shared" si="3"/>
        <v>0</v>
      </c>
      <c r="G105" s="20" t="s">
        <v>127</v>
      </c>
      <c r="H105" s="4"/>
    </row>
    <row r="106">
      <c r="A106" s="19" t="s">
        <v>386</v>
      </c>
      <c r="B106" s="19" t="s">
        <v>333</v>
      </c>
      <c r="C106" s="9"/>
      <c r="D106" s="19">
        <v>2.0</v>
      </c>
      <c r="E106" s="19">
        <v>5.0</v>
      </c>
      <c r="F106" s="15">
        <f t="shared" si="3"/>
        <v>10</v>
      </c>
      <c r="G106" s="20" t="s">
        <v>127</v>
      </c>
      <c r="H106" s="4"/>
    </row>
    <row r="107">
      <c r="A107" s="19" t="s">
        <v>30</v>
      </c>
      <c r="B107" s="19" t="s">
        <v>331</v>
      </c>
      <c r="C107" s="9"/>
      <c r="D107" s="19">
        <v>5.0</v>
      </c>
      <c r="E107" s="19">
        <v>5.0</v>
      </c>
      <c r="F107" s="15">
        <f t="shared" si="3"/>
        <v>25</v>
      </c>
      <c r="G107" s="20" t="s">
        <v>127</v>
      </c>
      <c r="H107" s="4"/>
    </row>
    <row r="108">
      <c r="A108" s="9"/>
      <c r="B108" s="9"/>
      <c r="C108" s="9"/>
      <c r="D108" s="9"/>
      <c r="E108" s="9"/>
      <c r="F108" s="9"/>
      <c r="G108" s="9"/>
      <c r="H108" s="4"/>
    </row>
    <row r="109">
      <c r="A109" s="9"/>
      <c r="B109" s="9"/>
      <c r="C109" s="9"/>
      <c r="D109" s="9"/>
      <c r="E109" s="9"/>
      <c r="F109" s="9"/>
      <c r="G109" s="9"/>
      <c r="H109" s="4"/>
    </row>
    <row r="110">
      <c r="A110" s="9"/>
      <c r="B110" s="9"/>
      <c r="C110" s="9"/>
      <c r="D110" s="9"/>
      <c r="E110" s="9"/>
      <c r="F110" s="9"/>
      <c r="G110" s="9"/>
      <c r="H110" s="4"/>
    </row>
    <row r="111">
      <c r="A111" s="9"/>
      <c r="B111" s="9"/>
      <c r="C111" s="9"/>
      <c r="D111" s="9"/>
      <c r="E111" s="9"/>
      <c r="F111" s="9"/>
      <c r="G111" s="9"/>
      <c r="H111" s="4"/>
    </row>
    <row r="112">
      <c r="A112" s="107"/>
      <c r="B112" s="9"/>
      <c r="C112" s="9"/>
      <c r="D112" s="9"/>
      <c r="E112" s="9"/>
      <c r="F112" s="9"/>
      <c r="G112" s="9"/>
      <c r="H112" s="4"/>
    </row>
    <row r="113">
      <c r="A113" s="9"/>
      <c r="B113" s="9"/>
      <c r="C113" s="9"/>
      <c r="D113" s="9"/>
      <c r="E113" s="9"/>
      <c r="F113" s="9"/>
      <c r="G113" s="9"/>
      <c r="H113" s="4"/>
    </row>
    <row r="114">
      <c r="A114" s="9"/>
      <c r="B114" s="9"/>
      <c r="C114" s="9"/>
      <c r="D114" s="9"/>
      <c r="E114" s="9"/>
      <c r="F114" s="9"/>
      <c r="G114" s="9"/>
      <c r="H114" s="4"/>
    </row>
    <row r="115">
      <c r="A115" s="9"/>
      <c r="B115" s="9"/>
      <c r="C115" s="9"/>
      <c r="D115" s="9"/>
      <c r="E115" s="9"/>
      <c r="F115" s="9"/>
      <c r="G115" s="9"/>
      <c r="H115" s="4"/>
    </row>
    <row r="116">
      <c r="A116" s="9"/>
      <c r="B116" s="9"/>
      <c r="C116" s="9"/>
      <c r="D116" s="9"/>
      <c r="E116" s="107"/>
      <c r="F116" s="9"/>
      <c r="G116" s="9"/>
      <c r="H116" s="4"/>
    </row>
    <row r="117">
      <c r="A117" s="39"/>
      <c r="B117" s="39"/>
      <c r="C117" s="39"/>
      <c r="D117" s="39"/>
      <c r="E117" s="39"/>
      <c r="F117" s="39"/>
      <c r="G117" s="39"/>
      <c r="H117" s="4"/>
    </row>
    <row r="118">
      <c r="A118" s="39"/>
      <c r="B118" s="39"/>
      <c r="C118" s="39"/>
      <c r="D118" s="39"/>
      <c r="E118" s="39"/>
      <c r="F118" s="39"/>
      <c r="G118" s="39"/>
      <c r="H118" s="4"/>
    </row>
    <row r="119">
      <c r="A119" s="39"/>
      <c r="B119" s="39"/>
      <c r="C119" s="39"/>
      <c r="D119" s="39"/>
      <c r="E119" s="39"/>
      <c r="F119" s="39"/>
      <c r="G119" s="39"/>
      <c r="H119" s="4"/>
    </row>
    <row r="120">
      <c r="A120" s="39"/>
      <c r="B120" s="39"/>
      <c r="C120" s="39"/>
      <c r="D120" s="39"/>
      <c r="E120" s="39"/>
      <c r="F120" s="39"/>
      <c r="G120" s="39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</sheetData>
  <dataValidations>
    <dataValidation type="list" allowBlank="1" showErrorMessage="1" sqref="B2:B107">
      <formula1>"Tiras ,Elastica ,Moño"</formula1>
    </dataValidation>
    <dataValidation type="list" allowBlank="1" showErrorMessage="1" sqref="G2:G107">
      <formula1>"Disponible,No Disponible"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/>
      <c r="B1" s="109" t="s">
        <v>387</v>
      </c>
      <c r="C1" s="110"/>
      <c r="D1" s="108"/>
      <c r="E1" s="108"/>
    </row>
    <row r="2">
      <c r="A2" s="111" t="s">
        <v>388</v>
      </c>
      <c r="B2" s="111" t="s">
        <v>389</v>
      </c>
      <c r="C2" s="111" t="s">
        <v>390</v>
      </c>
      <c r="D2" s="111" t="s">
        <v>391</v>
      </c>
      <c r="E2" s="111" t="s">
        <v>392</v>
      </c>
    </row>
    <row r="3">
      <c r="A3" s="112">
        <v>45719.0</v>
      </c>
      <c r="B3" s="113">
        <v>9915.0</v>
      </c>
      <c r="C3" s="114">
        <v>775.0</v>
      </c>
      <c r="D3" s="114">
        <v>3054.5</v>
      </c>
      <c r="E3" s="115">
        <v>13744.5</v>
      </c>
    </row>
    <row r="4">
      <c r="A4" s="5"/>
      <c r="B4" s="5"/>
      <c r="C4" s="5"/>
      <c r="D4" s="5"/>
      <c r="E4" s="5"/>
    </row>
    <row r="5">
      <c r="A5" s="5"/>
      <c r="B5" s="5"/>
      <c r="C5" s="5"/>
      <c r="D5" s="5"/>
      <c r="E5" s="5"/>
    </row>
    <row r="6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  <row r="9">
      <c r="A9" s="5"/>
      <c r="B9" s="5"/>
      <c r="C9" s="5"/>
      <c r="D9" s="5"/>
      <c r="E9" s="5"/>
    </row>
    <row r="10">
      <c r="A10" s="5"/>
      <c r="B10" s="5"/>
      <c r="C10" s="5"/>
      <c r="D10" s="5"/>
      <c r="E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71"/>
      <c r="B18" s="71"/>
      <c r="C18" s="71"/>
      <c r="D18" s="71"/>
      <c r="E18" s="71"/>
    </row>
    <row r="19">
      <c r="A19" s="71"/>
      <c r="B19" s="71"/>
      <c r="C19" s="71"/>
      <c r="D19" s="71"/>
      <c r="E19" s="71"/>
    </row>
  </sheetData>
  <drawing r:id="rId1"/>
</worksheet>
</file>